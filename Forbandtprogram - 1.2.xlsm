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Denne_projektmappe" defaultThemeVersion="124226"/>
  <mc:AlternateContent xmlns:mc="http://schemas.openxmlformats.org/markup-compatibility/2006">
    <mc:Choice Requires="x15">
      <x15ac:absPath xmlns:x15ac="http://schemas.microsoft.com/office/spreadsheetml/2010/11/ac" url="P:\Privat\"/>
    </mc:Choice>
  </mc:AlternateContent>
  <xr:revisionPtr revIDLastSave="0" documentId="13_ncr:1_{E4BA04CB-6263-41B3-9154-7E64235DE361}" xr6:coauthVersionLast="47" xr6:coauthVersionMax="47" xr10:uidLastSave="{00000000-0000-0000-0000-000000000000}"/>
  <bookViews>
    <workbookView xWindow="-120" yWindow="-120" windowWidth="29040" windowHeight="15840" tabRatio="786" xr2:uid="{00000000-000D-0000-FFFF-FFFF00000000}"/>
  </bookViews>
  <sheets>
    <sheet name="Forside" sheetId="2" r:id="rId1"/>
    <sheet name="Facade3" sheetId="51" r:id="rId2"/>
    <sheet name="Facade2" sheetId="52" r:id="rId3"/>
    <sheet name="Facade1" sheetId="48" r:id="rId4"/>
    <sheet name="Ukendt facade" sheetId="4" state="hidden" r:id="rId5"/>
    <sheet name="Oversigt facader" sheetId="29" r:id="rId6"/>
    <sheet name="Oversigt overliggere" sheetId="30" r:id="rId7"/>
    <sheet name="Overligger tabel" sheetId="3" r:id="rId8"/>
  </sheets>
  <definedNames>
    <definedName name="_xlnm.Print_Area" localSheetId="3">Facade1!$A$1:$GC$56</definedName>
    <definedName name="_xlnm.Print_Area" localSheetId="2">Facade2!$A$1:$GC$56</definedName>
    <definedName name="_xlnm.Print_Area" localSheetId="1">Facade3!$A$1:$GC$56</definedName>
    <definedName name="_xlnm.Print_Area" localSheetId="4">'Ukendt facade'!$A$1:$DB$56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29" l="1"/>
  <c r="I6" i="29"/>
  <c r="I5" i="29"/>
  <c r="B1" i="30" l="1"/>
  <c r="B1" i="29" l="1"/>
  <c r="B2" i="30" l="1"/>
  <c r="B2" i="29" l="1"/>
  <c r="T18" i="3"/>
  <c r="U18" i="3" s="1"/>
  <c r="S7" i="3"/>
  <c r="T7" i="3" s="1"/>
  <c r="U7" i="3" s="1"/>
  <c r="S8" i="3"/>
  <c r="T8" i="3" s="1"/>
  <c r="U8" i="3" s="1"/>
  <c r="S9" i="3"/>
  <c r="T9" i="3" s="1"/>
  <c r="U9" i="3" s="1"/>
  <c r="S10" i="3"/>
  <c r="T10" i="3" s="1"/>
  <c r="U10" i="3" s="1"/>
  <c r="S11" i="3"/>
  <c r="T11" i="3" s="1"/>
  <c r="U11" i="3" s="1"/>
  <c r="S12" i="3"/>
  <c r="T12" i="3" s="1"/>
  <c r="U12" i="3" s="1"/>
  <c r="S13" i="3"/>
  <c r="T13" i="3" s="1"/>
  <c r="U13" i="3" s="1"/>
  <c r="S14" i="3"/>
  <c r="T14" i="3" s="1"/>
  <c r="U14" i="3" s="1"/>
  <c r="S15" i="3"/>
  <c r="T15" i="3" s="1"/>
  <c r="U15" i="3" s="1"/>
  <c r="S16" i="3"/>
  <c r="T16" i="3" s="1"/>
  <c r="U16" i="3" s="1"/>
  <c r="S17" i="3"/>
  <c r="T17" i="3" s="1"/>
  <c r="U17" i="3" s="1"/>
  <c r="S18" i="3"/>
  <c r="S19" i="3"/>
  <c r="T19" i="3" s="1"/>
  <c r="U19" i="3" s="1"/>
  <c r="S20" i="3"/>
  <c r="T20" i="3" s="1"/>
  <c r="U20" i="3" s="1"/>
  <c r="S21" i="3"/>
  <c r="T21" i="3" s="1"/>
  <c r="U21" i="3" s="1"/>
  <c r="S22" i="3"/>
  <c r="T22" i="3" s="1"/>
  <c r="U22" i="3" s="1"/>
  <c r="S23" i="3"/>
  <c r="T23" i="3" s="1"/>
  <c r="U23" i="3" s="1"/>
  <c r="S24" i="3"/>
  <c r="T24" i="3" s="1"/>
  <c r="U24" i="3" s="1"/>
  <c r="S25" i="3"/>
  <c r="T25" i="3" s="1"/>
  <c r="U25" i="3" s="1"/>
  <c r="S26" i="3"/>
  <c r="T26" i="3" s="1"/>
  <c r="U26" i="3" s="1"/>
  <c r="S27" i="3"/>
  <c r="T27" i="3" s="1"/>
  <c r="U27" i="3" s="1"/>
  <c r="S28" i="3"/>
  <c r="T28" i="3" s="1"/>
  <c r="U28" i="3" s="1"/>
  <c r="S29" i="3"/>
  <c r="T29" i="3" s="1"/>
  <c r="U29" i="3" s="1"/>
  <c r="S30" i="3"/>
  <c r="T30" i="3" s="1"/>
  <c r="U30" i="3" s="1"/>
  <c r="S31" i="3"/>
  <c r="T31" i="3" s="1"/>
  <c r="U31" i="3" s="1"/>
  <c r="S32" i="3"/>
  <c r="T32" i="3" s="1"/>
  <c r="U32" i="3" s="1"/>
  <c r="S33" i="3"/>
  <c r="T33" i="3" s="1"/>
  <c r="U33" i="3" s="1"/>
  <c r="S34" i="3"/>
  <c r="T34" i="3" s="1"/>
  <c r="U34" i="3" s="1"/>
  <c r="S35" i="3"/>
  <c r="T35" i="3" s="1"/>
  <c r="U35" i="3" s="1"/>
  <c r="S36" i="3"/>
  <c r="T36" i="3" s="1"/>
  <c r="U36" i="3" s="1"/>
  <c r="S37" i="3"/>
  <c r="T37" i="3" s="1"/>
  <c r="U37" i="3" s="1"/>
  <c r="S6" i="3"/>
  <c r="T6" i="3" s="1"/>
  <c r="U6" i="3" s="1"/>
</calcChain>
</file>

<file path=xl/sharedStrings.xml><?xml version="1.0" encoding="utf-8"?>
<sst xmlns="http://schemas.openxmlformats.org/spreadsheetml/2006/main" count="594" uniqueCount="97">
  <si>
    <t>Ukendt</t>
  </si>
  <si>
    <t>Dato:</t>
  </si>
  <si>
    <t>VIGTIGT!</t>
  </si>
  <si>
    <t>Kort info</t>
  </si>
  <si>
    <r>
      <t xml:space="preserve">Dette værktøj er udarbejdet på frivillig basis. Skaberen af dette værktøj kan ikke gøres ansvarlig for nogen form for tab af fortjeneste, indtægter eller nogen form for indirekte skader, som opstår på grund af eller i forbindelse med brug af Excel-værktøjet. </t>
    </r>
    <r>
      <rPr>
        <b/>
        <sz val="11"/>
        <color theme="1"/>
        <rFont val="Calibri"/>
        <family val="2"/>
        <scheme val="minor"/>
      </rPr>
      <t xml:space="preserve">Brug af dette værktøj er dermed </t>
    </r>
    <r>
      <rPr>
        <b/>
        <u/>
        <sz val="11"/>
        <color theme="1"/>
        <rFont val="Calibri"/>
        <family val="2"/>
        <scheme val="minor"/>
      </rPr>
      <t>på eget ansvar.</t>
    </r>
  </si>
  <si>
    <t>Sådan gør du</t>
  </si>
  <si>
    <t>Mængde af overliggende murværk</t>
  </si>
  <si>
    <t>4/5</t>
  </si>
  <si>
    <t>5/6</t>
  </si>
  <si>
    <t>6/7</t>
  </si>
  <si>
    <t>7/8</t>
  </si>
  <si>
    <t>8/9</t>
  </si>
  <si>
    <t>9/10</t>
  </si>
  <si>
    <t>10/11</t>
  </si>
  <si>
    <t>11/12</t>
  </si>
  <si>
    <t>12/13</t>
  </si>
  <si>
    <t>13/14</t>
  </si>
  <si>
    <t>14/15</t>
  </si>
  <si>
    <t>15/16</t>
  </si>
  <si>
    <t>Antal skifte over overligger</t>
  </si>
  <si>
    <t>25,4 / 32,1</t>
  </si>
  <si>
    <t>32,1 / 38,8</t>
  </si>
  <si>
    <t>38,8 / 45,4</t>
  </si>
  <si>
    <t>45,4 / 52,1</t>
  </si>
  <si>
    <t>52,1 / 58.8</t>
  </si>
  <si>
    <t>58,8 / 65,4</t>
  </si>
  <si>
    <t>65,4 / 72,1</t>
  </si>
  <si>
    <t>72,1 / 78,8</t>
  </si>
  <si>
    <t>78,8 / 85,4</t>
  </si>
  <si>
    <t>85,4 / 92,1</t>
  </si>
  <si>
    <t>92,1 / 98,8</t>
  </si>
  <si>
    <t>98,8 / 105,4</t>
  </si>
  <si>
    <t>Geometri af overligger</t>
  </si>
  <si>
    <t>Lysningsmål [Hulmål mm]</t>
  </si>
  <si>
    <t>1-skifte</t>
  </si>
  <si>
    <t>1-skifte forspændt</t>
  </si>
  <si>
    <t>Beregnes</t>
  </si>
  <si>
    <t>2-skifte</t>
  </si>
  <si>
    <t>2-skifte forspændt</t>
  </si>
  <si>
    <t>Teglbjælker</t>
  </si>
  <si>
    <r>
      <rPr>
        <sz val="11"/>
        <rFont val="Calibri"/>
        <family val="2"/>
        <scheme val="minor"/>
      </rPr>
      <t>Højde  af overliggende murværk i cm
Inkl. overligger</t>
    </r>
  </si>
  <si>
    <t>Antal skifte for placering af murpap [overligger skifte + overliggende murværk]</t>
  </si>
  <si>
    <t>Antal sten i længden inkl. vederlag</t>
  </si>
  <si>
    <t>Vederlag:</t>
  </si>
  <si>
    <t>1&gt;X</t>
  </si>
  <si>
    <t>1&lt;X</t>
  </si>
  <si>
    <t>cm</t>
  </si>
  <si>
    <t>Navn på facade:</t>
  </si>
  <si>
    <t>Startsten i venstre hjørne:</t>
  </si>
  <si>
    <t>Længde på overligger:</t>
  </si>
  <si>
    <t>Antal m² åbning:</t>
  </si>
  <si>
    <t>Kommentar:</t>
  </si>
  <si>
    <t>Antal overliggere:</t>
  </si>
  <si>
    <t>Antal m² åbninger i alt:</t>
  </si>
  <si>
    <t>Antal m² murværk i alt:</t>
  </si>
  <si>
    <t>Antal mursten i alt:</t>
  </si>
  <si>
    <t>Længde mm:</t>
  </si>
  <si>
    <t>Højde mm:</t>
  </si>
  <si>
    <t>Forbandt:</t>
  </si>
  <si>
    <t>Startsten i højre hjørne:</t>
  </si>
  <si>
    <t>Vinduesnr.:</t>
  </si>
  <si>
    <t>Mørtel styrke min. Som 
KC35-65-650</t>
  </si>
  <si>
    <t>1: Opret ny facade ved at klikke på nedenstående knap (makroer skal være aktiveret).
2: Evt. indsæt åbninger ved at trykke på korresponderende knap (først efter du har oprettet en facade).</t>
  </si>
  <si>
    <t>Fradrag m²</t>
  </si>
  <si>
    <t>Antal m² ekskl. åbninger:</t>
  </si>
  <si>
    <t>Dette værktøj er udarbejdet til at generere murstensforbandt på facader og til dimensionering af tegloverliggere. Formålet med dette værktøj er at mindske forbandtfejl og gøre det nemmere at bestille de korrekte tegloverliggere, så de passer til forbandtet i facaden. Dimensionering af overliggere sker på baggrund af Egernsund Tegls overslagsskema (se evt. tabel i fanen "Overligger tabel").
På fanerne "Oversigt facader" og "Oversigt overliggere" kan du få et overblik over de facader og åbninger du har tilføjet. Kommentarer tilføjes, hvis programmet opdager nogen uhensigtsmæssige løsninger. Det kan f.eks. være at der ikke er nok skifter over overliggeren.</t>
  </si>
  <si>
    <t>Hvad betyder farven på overliggeren?</t>
  </si>
  <si>
    <t>1-skifte overligger jf. Egernsunds Tegls opslagsvæk.</t>
  </si>
  <si>
    <t>2-skifte overligger jf. Egernsunds Tegls opslagsvæk.</t>
  </si>
  <si>
    <t>Overliggeren skal beregnes.</t>
  </si>
  <si>
    <t xml:space="preserve"> - Betyder:</t>
  </si>
  <si>
    <t>Noget som ikke stemmer, læs dialog-boks og se evt. kommentar på oversigten.</t>
  </si>
  <si>
    <t>Kan programmet tage fejl?</t>
  </si>
  <si>
    <t>Fortløbende fals højre</t>
  </si>
  <si>
    <t>65 stk pr. m² (ekstra mursten ved sålbænke er ikke medregnet)</t>
  </si>
  <si>
    <t>Version:</t>
  </si>
  <si>
    <t>Udarbejdet af Michael Sivebæk Nielsen</t>
  </si>
  <si>
    <r>
      <t xml:space="preserve">Ja. Programmet er for nu designet til alm. enfamiliehuse med skalmuring, hvor der ved mere specielle og/eller komplekse løsninger kan opstå situationer hvor forbandtet ikke er korrekt eller at dimensioneringen af overliggeren er forkert. </t>
    </r>
    <r>
      <rPr>
        <b/>
        <u/>
        <sz val="11"/>
        <color theme="1"/>
        <rFont val="Calibri"/>
        <family val="2"/>
        <scheme val="minor"/>
      </rPr>
      <t>Du skal derfor altid selv kontrollere om det stemmer.</t>
    </r>
  </si>
  <si>
    <t>1.2</t>
  </si>
  <si>
    <t>Løberforbandt I</t>
  </si>
  <si>
    <t>Trekvarter</t>
  </si>
  <si>
    <t>Vinduesnr.: 1</t>
  </si>
  <si>
    <t>Vindueshøjde = 2.145 mm</t>
  </si>
  <si>
    <t>Kop</t>
  </si>
  <si>
    <t>Kop+Kop / hel-sten</t>
  </si>
  <si>
    <t>Overligger = 14-sten</t>
  </si>
  <si>
    <t>Vinduesnr.: 2</t>
  </si>
  <si>
    <t>Facade1</t>
  </si>
  <si>
    <t>Overligger = 11-sten</t>
  </si>
  <si>
    <t>Åbningsmål = 1.932 mm</t>
  </si>
  <si>
    <t>Overligger = 10-sten</t>
  </si>
  <si>
    <t>Vinduesnr.: 3</t>
  </si>
  <si>
    <t>Åbningsmål = 2.892 mm</t>
  </si>
  <si>
    <t>Vindueshøjde = 2.345 mm</t>
  </si>
  <si>
    <t>Facade2</t>
  </si>
  <si>
    <t>Facade3</t>
  </si>
  <si>
    <t>Overligger = 15-sten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</si>
</sst>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 #,##0.00_ ;_ * \-#,##0.00_ ;_ * &quot;-&quot;??_ ;_ @_ "/>
    <numFmt numFmtId="165" formatCode="_ * #,##0.0_ ;_ * \-#,##0.0_ ;_ * &quot;-&quot;??_ ;_ @_ "/>
    <numFmt numFmtId="166" formatCode="0.0"/>
    <numFmt numFmtId="167" formatCode="_ * #,##0_ ;_ * \-#,##0_ ;_ * &quot;-&quot;??_ ;_ @_ "/>
  </numFmts>
  <fonts count="22" x14ac:knownFonts="1">
    <font>
      <sz val="11"/>
      <color theme="1"/>
      <name val="Calibri"/>
      <family val="2"/>
      <scheme val="minor"/>
    </font>
    <font>
      <sz val="11"/>
      <color theme="1"/>
      <name val="Calibri"/>
      <family val="2"/>
      <scheme val="minor"/>
    </font>
    <font>
      <sz val="8"/>
      <color theme="1"/>
      <name val="Calibri"/>
      <family val="2"/>
      <scheme val="minor"/>
    </font>
    <font>
      <sz val="11"/>
      <color rgb="FF000000"/>
      <name val="Calibri"/>
      <family val="2"/>
    </font>
    <font>
      <sz val="18"/>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6"/>
      <name val="Calibri"/>
      <family val="2"/>
      <scheme val="minor"/>
    </font>
    <font>
      <b/>
      <sz val="16"/>
      <color rgb="FFFF0000"/>
      <name val="Calibri"/>
      <family val="2"/>
      <scheme val="minor"/>
    </font>
    <font>
      <b/>
      <u/>
      <sz val="11"/>
      <color theme="1"/>
      <name val="Calibri"/>
      <family val="2"/>
      <scheme val="minor"/>
    </font>
    <font>
      <sz val="11"/>
      <color rgb="FF000000"/>
      <name val="Calibri"/>
      <family val="2"/>
      <scheme val="minor"/>
    </font>
    <font>
      <sz val="10"/>
      <color rgb="FF000000"/>
      <name val="Times New Roman"/>
      <family val="1"/>
    </font>
    <font>
      <sz val="11"/>
      <name val="Calibri"/>
      <family val="2"/>
      <scheme val="minor"/>
    </font>
    <font>
      <b/>
      <sz val="12"/>
      <name val="Calibri"/>
      <family val="2"/>
      <scheme val="minor"/>
    </font>
    <font>
      <b/>
      <u/>
      <sz val="12"/>
      <name val="Calibri"/>
      <family val="2"/>
      <scheme val="minor"/>
    </font>
    <font>
      <sz val="10"/>
      <color theme="1"/>
      <name val="Calibri"/>
      <family val="2"/>
      <scheme val="minor"/>
    </font>
    <font>
      <sz val="11"/>
      <color theme="0" tint="-0.14999847407452621"/>
      <name val="Calibri"/>
      <family val="2"/>
      <scheme val="minor"/>
    </font>
    <font>
      <b/>
      <sz val="16"/>
      <color theme="1"/>
      <name val="Calibri"/>
      <family val="2"/>
      <scheme val="minor"/>
    </font>
    <font>
      <b/>
      <sz val="36"/>
      <color rgb="FFFF0000"/>
      <name val="Calibri"/>
      <family val="2"/>
      <scheme val="minor"/>
    </font>
    <font>
      <b/>
      <sz val="11"/>
      <color rgb="FFFF0000"/>
      <name val="Calibri"/>
      <family val="2"/>
      <scheme val="minor"/>
    </font>
    <font>
      <b/>
      <sz val="8"/>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rgb="FFB3C6E6"/>
      </patternFill>
    </fill>
    <fill>
      <patternFill patternType="solid">
        <fgColor rgb="FFBCD6ED"/>
      </patternFill>
    </fill>
    <fill>
      <patternFill patternType="solid">
        <fgColor rgb="FFFF5050"/>
        <bgColor indexed="64"/>
      </patternFill>
    </fill>
    <fill>
      <patternFill patternType="solid">
        <fgColor rgb="FFFFCC66"/>
        <bgColor indexed="64"/>
      </patternFill>
    </fill>
    <fill>
      <patternFill patternType="solid">
        <fgColor rgb="FFAFCDA3"/>
        <bgColor indexed="64"/>
      </patternFill>
    </fill>
    <fill>
      <patternFill patternType="solid">
        <fgColor theme="7"/>
        <bgColor indexed="64"/>
      </patternFill>
    </fill>
    <fill>
      <patternFill patternType="solid">
        <fgColor theme="0"/>
        <bgColor indexed="64"/>
      </patternFill>
    </fill>
  </fills>
  <borders count="40">
    <border>
      <left/>
      <right/>
      <top/>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bottom style="thin">
        <color rgb="FF000000"/>
      </bottom>
      <diagonal/>
    </border>
    <border>
      <left/>
      <right style="thin">
        <color rgb="FF000000"/>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3">
    <xf numFmtId="0" fontId="0" fillId="0" borderId="0"/>
    <xf numFmtId="164" fontId="1" fillId="0" borderId="0" applyFont="0" applyFill="0" applyBorder="0" applyAlignment="0" applyProtection="0"/>
    <xf numFmtId="0" fontId="12" fillId="0" borderId="0"/>
  </cellStyleXfs>
  <cellXfs count="147">
    <xf numFmtId="0" fontId="0" fillId="0" borderId="0" xfId="0"/>
    <xf numFmtId="0" fontId="2" fillId="0" borderId="0" xfId="0" applyFont="1" applyAlignment="1">
      <alignment horizontal="center" vertical="center"/>
    </xf>
    <xf numFmtId="0" fontId="0" fillId="0" borderId="0" xfId="0" applyAlignment="1">
      <alignment horizontal="center" vertical="center"/>
    </xf>
    <xf numFmtId="165" fontId="2" fillId="0" borderId="0" xfId="1" applyNumberFormat="1" applyFont="1" applyFill="1" applyBorder="1" applyAlignment="1">
      <alignment horizontal="center" vertical="center"/>
    </xf>
    <xf numFmtId="0" fontId="2" fillId="0" borderId="0" xfId="0" applyFont="1" applyAlignment="1">
      <alignment horizontal="center" vertical="center" textRotation="180"/>
    </xf>
    <xf numFmtId="0" fontId="4" fillId="0" borderId="0" xfId="0" applyFont="1" applyAlignment="1">
      <alignment horizontal="left" vertical="top"/>
    </xf>
    <xf numFmtId="165" fontId="2" fillId="0" borderId="0" xfId="1" applyNumberFormat="1" applyFont="1" applyFill="1" applyBorder="1" applyAlignment="1">
      <alignment horizontal="center"/>
    </xf>
    <xf numFmtId="0" fontId="0" fillId="2" borderId="0" xfId="0" applyFill="1"/>
    <xf numFmtId="0" fontId="0" fillId="3" borderId="2" xfId="0" applyFill="1" applyBorder="1"/>
    <xf numFmtId="0" fontId="0" fillId="3" borderId="0" xfId="0" applyFill="1"/>
    <xf numFmtId="0" fontId="0" fillId="3" borderId="1" xfId="0" applyFill="1" applyBorder="1"/>
    <xf numFmtId="0" fontId="0" fillId="3" borderId="5" xfId="0" applyFill="1" applyBorder="1"/>
    <xf numFmtId="0" fontId="0" fillId="3" borderId="6" xfId="0" applyFill="1" applyBorder="1"/>
    <xf numFmtId="0" fontId="0" fillId="3" borderId="8" xfId="0" applyFill="1" applyBorder="1"/>
    <xf numFmtId="0" fontId="0" fillId="4" borderId="0" xfId="0" applyFill="1" applyAlignment="1">
      <alignment horizontal="center" vertical="center"/>
    </xf>
    <xf numFmtId="0" fontId="2" fillId="4" borderId="3" xfId="0" applyFont="1" applyFill="1" applyBorder="1" applyAlignment="1">
      <alignment horizontal="center" vertical="center"/>
    </xf>
    <xf numFmtId="0" fontId="0" fillId="4" borderId="4" xfId="0" applyFill="1" applyBorder="1" applyAlignment="1">
      <alignment horizontal="center" vertical="center"/>
    </xf>
    <xf numFmtId="0" fontId="2" fillId="4" borderId="4" xfId="0" applyFont="1" applyFill="1" applyBorder="1" applyAlignment="1">
      <alignment horizontal="center" vertical="center"/>
    </xf>
    <xf numFmtId="0" fontId="0" fillId="4" borderId="7" xfId="0" applyFill="1" applyBorder="1" applyAlignment="1">
      <alignment horizontal="center" vertical="center"/>
    </xf>
    <xf numFmtId="0" fontId="0" fillId="4" borderId="2" xfId="0" applyFill="1" applyBorder="1" applyAlignment="1">
      <alignment horizontal="center" vertical="center"/>
    </xf>
    <xf numFmtId="0" fontId="0" fillId="4" borderId="1" xfId="0" applyFill="1" applyBorder="1" applyAlignment="1">
      <alignment horizontal="center" vertical="center"/>
    </xf>
    <xf numFmtId="0" fontId="0" fillId="4" borderId="5" xfId="0" applyFill="1" applyBorder="1" applyAlignment="1">
      <alignment horizontal="center" vertical="center"/>
    </xf>
    <xf numFmtId="0" fontId="0" fillId="4" borderId="6" xfId="0" applyFill="1" applyBorder="1" applyAlignment="1">
      <alignment horizontal="center" vertical="center"/>
    </xf>
    <xf numFmtId="0" fontId="0" fillId="4" borderId="8" xfId="0" applyFill="1" applyBorder="1" applyAlignment="1">
      <alignment horizontal="center" vertical="center"/>
    </xf>
    <xf numFmtId="0" fontId="9" fillId="3" borderId="2" xfId="0" applyFont="1" applyFill="1" applyBorder="1"/>
    <xf numFmtId="0" fontId="8" fillId="3" borderId="0" xfId="0" applyFont="1" applyFill="1"/>
    <xf numFmtId="0" fontId="0" fillId="3" borderId="3" xfId="0" applyFill="1" applyBorder="1"/>
    <xf numFmtId="0" fontId="0" fillId="3" borderId="4" xfId="0" applyFill="1" applyBorder="1"/>
    <xf numFmtId="0" fontId="0" fillId="3" borderId="7" xfId="0" applyFill="1" applyBorder="1"/>
    <xf numFmtId="0" fontId="13" fillId="0" borderId="12" xfId="2" applyFont="1" applyBorder="1" applyAlignment="1">
      <alignment horizontal="left" vertical="top" wrapText="1"/>
    </xf>
    <xf numFmtId="0" fontId="11" fillId="5" borderId="12" xfId="2" applyFont="1" applyFill="1" applyBorder="1" applyAlignment="1">
      <alignment horizontal="left" vertical="top" wrapText="1"/>
    </xf>
    <xf numFmtId="0" fontId="13" fillId="0" borderId="12" xfId="2" applyFont="1" applyBorder="1" applyAlignment="1">
      <alignment horizontal="left" vertical="center" wrapText="1"/>
    </xf>
    <xf numFmtId="1" fontId="11" fillId="6" borderId="12" xfId="2" applyNumberFormat="1" applyFont="1" applyFill="1" applyBorder="1" applyAlignment="1">
      <alignment horizontal="right" vertical="top" shrinkToFit="1"/>
    </xf>
    <xf numFmtId="1" fontId="11" fillId="0" borderId="12" xfId="2" applyNumberFormat="1" applyFont="1" applyBorder="1" applyAlignment="1">
      <alignment horizontal="right" vertical="top" shrinkToFit="1"/>
    </xf>
    <xf numFmtId="0" fontId="13" fillId="5" borderId="15" xfId="2" applyFont="1" applyFill="1" applyBorder="1" applyAlignment="1">
      <alignment horizontal="center" vertical="top" wrapText="1"/>
    </xf>
    <xf numFmtId="1" fontId="11" fillId="5" borderId="15" xfId="2" applyNumberFormat="1" applyFont="1" applyFill="1" applyBorder="1" applyAlignment="1">
      <alignment horizontal="center" vertical="center" shrinkToFit="1"/>
    </xf>
    <xf numFmtId="0" fontId="13" fillId="5" borderId="15" xfId="2" applyFont="1" applyFill="1" applyBorder="1" applyAlignment="1">
      <alignment horizontal="center" vertical="center" wrapText="1"/>
    </xf>
    <xf numFmtId="0" fontId="11" fillId="0" borderId="0" xfId="2" applyFont="1" applyAlignment="1">
      <alignment vertical="top" wrapText="1"/>
    </xf>
    <xf numFmtId="0" fontId="11" fillId="0" borderId="11" xfId="2" applyFont="1" applyBorder="1" applyAlignment="1">
      <alignment vertical="top" wrapText="1"/>
    </xf>
    <xf numFmtId="0" fontId="13" fillId="0" borderId="16" xfId="2" applyFont="1" applyBorder="1" applyAlignment="1">
      <alignment horizontal="center" vertical="top" wrapText="1"/>
    </xf>
    <xf numFmtId="0" fontId="0" fillId="0" borderId="16" xfId="0" applyBorder="1"/>
    <xf numFmtId="0" fontId="0" fillId="0" borderId="16" xfId="0" applyBorder="1" applyAlignment="1">
      <alignment horizontal="center"/>
    </xf>
    <xf numFmtId="1" fontId="0" fillId="0" borderId="0" xfId="0" applyNumberFormat="1"/>
    <xf numFmtId="0" fontId="13" fillId="7" borderId="12" xfId="2" applyFont="1" applyFill="1" applyBorder="1" applyAlignment="1">
      <alignment horizontal="center" vertical="top" wrapText="1"/>
    </xf>
    <xf numFmtId="0" fontId="13" fillId="8" borderId="12" xfId="2" applyFont="1" applyFill="1" applyBorder="1" applyAlignment="1">
      <alignment horizontal="center" vertical="top" wrapText="1"/>
    </xf>
    <xf numFmtId="0" fontId="13" fillId="9" borderId="12" xfId="2" applyFont="1" applyFill="1" applyBorder="1" applyAlignment="1">
      <alignment horizontal="center" vertical="top" wrapText="1"/>
    </xf>
    <xf numFmtId="165" fontId="0" fillId="0" borderId="16" xfId="1" applyNumberFormat="1" applyFont="1" applyBorder="1"/>
    <xf numFmtId="167" fontId="0" fillId="0" borderId="16" xfId="1" applyNumberFormat="1" applyFont="1" applyBorder="1"/>
    <xf numFmtId="165" fontId="0" fillId="0" borderId="0" xfId="1" applyNumberFormat="1" applyFont="1"/>
    <xf numFmtId="167" fontId="0" fillId="0" borderId="0" xfId="1" applyNumberFormat="1" applyFont="1"/>
    <xf numFmtId="167" fontId="16" fillId="0" borderId="0" xfId="1" applyNumberFormat="1" applyFont="1"/>
    <xf numFmtId="2" fontId="0" fillId="0" borderId="0" xfId="0" applyNumberFormat="1"/>
    <xf numFmtId="0" fontId="11" fillId="0" borderId="12" xfId="2" applyFont="1" applyBorder="1" applyAlignment="1">
      <alignment horizontal="center" vertical="top" wrapText="1"/>
    </xf>
    <xf numFmtId="1" fontId="11" fillId="0" borderId="12" xfId="2" applyNumberFormat="1" applyFont="1" applyBorder="1" applyAlignment="1">
      <alignment horizontal="center" vertical="center" shrinkToFit="1"/>
    </xf>
    <xf numFmtId="166" fontId="11" fillId="5" borderId="12" xfId="2" applyNumberFormat="1" applyFont="1" applyFill="1" applyBorder="1" applyAlignment="1">
      <alignment horizontal="center" vertical="center" shrinkToFit="1"/>
    </xf>
    <xf numFmtId="0" fontId="13" fillId="5" borderId="12" xfId="2" applyFont="1" applyFill="1" applyBorder="1" applyAlignment="1">
      <alignment horizontal="center" vertical="center" wrapText="1"/>
    </xf>
    <xf numFmtId="2" fontId="0" fillId="0" borderId="16" xfId="0" applyNumberFormat="1" applyBorder="1"/>
    <xf numFmtId="166" fontId="0" fillId="0" borderId="0" xfId="0" applyNumberFormat="1"/>
    <xf numFmtId="0" fontId="0" fillId="3" borderId="0" xfId="0" applyFill="1" applyAlignment="1">
      <alignment vertical="top" wrapText="1"/>
    </xf>
    <xf numFmtId="0" fontId="0" fillId="7" borderId="17" xfId="0" applyFill="1" applyBorder="1" applyAlignment="1">
      <alignment vertical="top" wrapText="1"/>
    </xf>
    <xf numFmtId="0" fontId="0" fillId="7" borderId="18" xfId="0" applyFill="1" applyBorder="1" applyAlignment="1">
      <alignment vertical="top" wrapText="1"/>
    </xf>
    <xf numFmtId="0" fontId="0" fillId="8" borderId="17" xfId="0" applyFill="1" applyBorder="1" applyAlignment="1">
      <alignment vertical="top" wrapText="1"/>
    </xf>
    <xf numFmtId="0" fontId="0" fillId="8" borderId="18" xfId="0" applyFill="1" applyBorder="1" applyAlignment="1">
      <alignment vertical="top" wrapText="1"/>
    </xf>
    <xf numFmtId="0" fontId="0" fillId="9" borderId="17" xfId="0" applyFill="1" applyBorder="1" applyAlignment="1">
      <alignment vertical="top" wrapText="1"/>
    </xf>
    <xf numFmtId="0" fontId="0" fillId="9" borderId="18" xfId="0" applyFill="1" applyBorder="1" applyAlignment="1">
      <alignment vertical="top" wrapText="1"/>
    </xf>
    <xf numFmtId="0" fontId="0" fillId="10" borderId="17" xfId="0" applyFill="1" applyBorder="1" applyAlignment="1">
      <alignment vertical="top" wrapText="1"/>
    </xf>
    <xf numFmtId="0" fontId="0" fillId="10" borderId="18" xfId="0" applyFill="1" applyBorder="1" applyAlignment="1">
      <alignment vertical="top" wrapText="1"/>
    </xf>
    <xf numFmtId="0" fontId="0" fillId="3" borderId="0" xfId="0" quotePrefix="1" applyFill="1" applyAlignment="1">
      <alignment vertical="top" wrapText="1"/>
    </xf>
    <xf numFmtId="0" fontId="0" fillId="3" borderId="0" xfId="0" applyFill="1" applyAlignment="1">
      <alignment vertical="top"/>
    </xf>
    <xf numFmtId="0" fontId="9" fillId="3" borderId="1" xfId="0" applyFont="1" applyFill="1" applyBorder="1"/>
    <xf numFmtId="0" fontId="2" fillId="0" borderId="0" xfId="0" applyFont="1" applyAlignment="1">
      <alignment horizontal="left" vertical="center"/>
    </xf>
    <xf numFmtId="0" fontId="2" fillId="0" borderId="0" xfId="0" applyFont="1" applyAlignment="1">
      <alignment horizontal="center"/>
    </xf>
    <xf numFmtId="0" fontId="0" fillId="0" borderId="2" xfId="0" applyBorder="1"/>
    <xf numFmtId="14" fontId="17" fillId="2" borderId="0" xfId="0" applyNumberFormat="1" applyFont="1" applyFill="1"/>
    <xf numFmtId="0" fontId="5" fillId="0" borderId="2" xfId="0" applyFont="1" applyBorder="1"/>
    <xf numFmtId="0" fontId="5" fillId="0" borderId="0" xfId="0" applyFont="1"/>
    <xf numFmtId="0" fontId="5" fillId="0" borderId="1" xfId="0" applyFont="1" applyBorder="1"/>
    <xf numFmtId="0" fontId="7" fillId="0" borderId="2" xfId="0" applyFont="1" applyBorder="1"/>
    <xf numFmtId="0" fontId="0" fillId="11" borderId="19" xfId="0" applyFill="1" applyBorder="1"/>
    <xf numFmtId="0" fontId="0" fillId="11" borderId="20" xfId="0" applyFill="1" applyBorder="1"/>
    <xf numFmtId="0" fontId="0" fillId="11" borderId="2" xfId="0" applyFill="1" applyBorder="1"/>
    <xf numFmtId="14" fontId="0" fillId="11" borderId="1" xfId="0" applyNumberFormat="1" applyFill="1" applyBorder="1"/>
    <xf numFmtId="0" fontId="0" fillId="11" borderId="21" xfId="0" applyFill="1" applyBorder="1"/>
    <xf numFmtId="0" fontId="0" fillId="11" borderId="20" xfId="0" applyFill="1" applyBorder="1" applyAlignment="1">
      <alignment horizontal="right"/>
    </xf>
    <xf numFmtId="0" fontId="20" fillId="2" borderId="0" xfId="0" applyFont="1" applyFill="1"/>
    <xf numFmtId="0" fontId="19" fillId="2" borderId="0" xfId="0" applyFont="1" applyFill="1" applyAlignment="1">
      <alignment horizontal="left"/>
    </xf>
    <xf numFmtId="0" fontId="0" fillId="0" borderId="0" xfId="0" applyAlignment="1">
      <alignment vertical="top" wrapText="1"/>
    </xf>
    <xf numFmtId="167" fontId="0" fillId="0" borderId="0" xfId="1" applyNumberFormat="1" applyFont="1" applyAlignment="1">
      <alignment vertical="top" wrapText="1"/>
    </xf>
    <xf numFmtId="0" fontId="2" fillId="0" borderId="2" xfId="0" applyFont="1" applyBorder="1" applyAlignment="1">
      <alignment horizontal="center"/>
    </xf>
    <xf numFmtId="0" fontId="2" fillId="0" borderId="22" xfId="0" applyFont="1" applyBorder="1" applyAlignment="1">
      <alignment horizontal="center"/>
    </xf>
    <xf numFmtId="0" fontId="2" fillId="0" borderId="6" xfId="0" applyFont="1" applyBorder="1" applyAlignment="1">
      <alignment horizontal="center"/>
    </xf>
    <xf numFmtId="0" fontId="2" fillId="0" borderId="26" xfId="0" applyFont="1" applyBorder="1" applyAlignment="1">
      <alignment horizontal="center"/>
    </xf>
    <xf numFmtId="0" fontId="2" fillId="0" borderId="27" xfId="0" applyFont="1" applyBorder="1" applyAlignment="1">
      <alignment horizontal="center"/>
    </xf>
    <xf numFmtId="0" fontId="2" fillId="0" borderId="1" xfId="0" applyFont="1" applyBorder="1" applyAlignment="1">
      <alignment horizontal="center"/>
    </xf>
    <xf numFmtId="0" fontId="2" fillId="0" borderId="29" xfId="0" applyFont="1" applyBorder="1" applyAlignment="1">
      <alignment horizontal="center"/>
    </xf>
    <xf numFmtId="0" fontId="2" fillId="0" borderId="30" xfId="0" applyFont="1" applyBorder="1" applyAlignment="1">
      <alignment horizontal="center"/>
    </xf>
    <xf numFmtId="0" fontId="2" fillId="0" borderId="31" xfId="0" applyFont="1" applyBorder="1" applyAlignment="1">
      <alignment horizontal="center"/>
    </xf>
    <xf numFmtId="0" fontId="2" fillId="0" borderId="32" xfId="0" applyFont="1" applyBorder="1" applyAlignment="1">
      <alignment horizontal="center"/>
    </xf>
    <xf numFmtId="0" fontId="2" fillId="0" borderId="25" xfId="0" applyFont="1" applyBorder="1" applyAlignment="1">
      <alignment horizontal="center"/>
    </xf>
    <xf numFmtId="0" fontId="2" fillId="0" borderId="33" xfId="0" applyFont="1" applyBorder="1" applyAlignment="1">
      <alignment horizontal="center"/>
    </xf>
    <xf numFmtId="0" fontId="2" fillId="0" borderId="34"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35" xfId="0" applyFont="1" applyBorder="1" applyAlignment="1">
      <alignment horizontal="center"/>
    </xf>
    <xf numFmtId="0" fontId="2" fillId="0" borderId="36" xfId="0" applyFont="1" applyBorder="1" applyAlignment="1">
      <alignment horizontal="center"/>
    </xf>
    <xf numFmtId="0" fontId="2" fillId="0" borderId="4" xfId="0" applyFont="1" applyBorder="1" applyAlignment="1">
      <alignment horizontal="center"/>
    </xf>
    <xf numFmtId="0" fontId="2" fillId="0" borderId="23" xfId="0" applyFont="1" applyBorder="1" applyAlignment="1">
      <alignment horizontal="center"/>
    </xf>
    <xf numFmtId="0" fontId="2" fillId="0" borderId="37" xfId="0" applyFont="1" applyBorder="1" applyAlignment="1">
      <alignment horizontal="center"/>
    </xf>
    <xf numFmtId="0" fontId="2" fillId="0" borderId="38" xfId="0" applyFont="1" applyBorder="1" applyAlignment="1">
      <alignment horizontal="center"/>
    </xf>
    <xf numFmtId="0" fontId="2" fillId="0" borderId="39" xfId="0" applyFont="1" applyBorder="1" applyAlignment="1">
      <alignment horizontal="center"/>
    </xf>
    <xf numFmtId="0" fontId="2" fillId="0" borderId="3" xfId="0" applyFont="1" applyBorder="1" applyAlignment="1">
      <alignment horizontal="center"/>
    </xf>
    <xf numFmtId="0" fontId="2" fillId="0" borderId="5"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1" fillId="0" borderId="0" xfId="0" applyFont="1" applyAlignment="1">
      <alignment horizontal="center"/>
    </xf>
    <xf numFmtId="0" fontId="2" fillId="0" borderId="28" xfId="0" applyFont="1" applyBorder="1" applyAlignment="1">
      <alignment horizontal="center"/>
    </xf>
    <xf numFmtId="0" fontId="2" fillId="8" borderId="26" xfId="0" applyFont="1" applyFill="1" applyBorder="1" applyAlignment="1">
      <alignment horizontal="center"/>
    </xf>
    <xf numFmtId="0" fontId="2" fillId="8" borderId="27" xfId="0" applyFont="1" applyFill="1" applyBorder="1" applyAlignment="1">
      <alignment horizontal="center"/>
    </xf>
    <xf numFmtId="0" fontId="2" fillId="8" borderId="33" xfId="0" applyFont="1" applyFill="1" applyBorder="1" applyAlignment="1">
      <alignment horizontal="center"/>
    </xf>
    <xf numFmtId="0" fontId="2" fillId="9" borderId="26" xfId="0" applyFont="1" applyFill="1" applyBorder="1" applyAlignment="1">
      <alignment horizontal="center"/>
    </xf>
    <xf numFmtId="0" fontId="2" fillId="9" borderId="0" xfId="0" applyFont="1" applyFill="1" applyAlignment="1">
      <alignment horizontal="center"/>
    </xf>
    <xf numFmtId="0" fontId="2" fillId="9" borderId="22" xfId="0" applyFont="1" applyFill="1" applyBorder="1" applyAlignment="1">
      <alignment horizontal="center"/>
    </xf>
    <xf numFmtId="0" fontId="2" fillId="9" borderId="27" xfId="0" applyFont="1" applyFill="1" applyBorder="1" applyAlignment="1">
      <alignment horizontal="center"/>
    </xf>
    <xf numFmtId="0" fontId="2" fillId="9" borderId="25" xfId="0" applyFont="1" applyFill="1" applyBorder="1" applyAlignment="1">
      <alignment horizontal="center"/>
    </xf>
    <xf numFmtId="0" fontId="2" fillId="9" borderId="24" xfId="0" applyFont="1" applyFill="1" applyBorder="1" applyAlignment="1">
      <alignment horizontal="center"/>
    </xf>
    <xf numFmtId="0" fontId="2" fillId="9" borderId="23" xfId="0" applyFont="1" applyFill="1" applyBorder="1" applyAlignment="1">
      <alignment horizontal="center"/>
    </xf>
    <xf numFmtId="0" fontId="2" fillId="9" borderId="33" xfId="0" applyFont="1" applyFill="1" applyBorder="1" applyAlignment="1">
      <alignment horizontal="center"/>
    </xf>
    <xf numFmtId="0" fontId="2" fillId="8" borderId="25" xfId="0" applyFont="1" applyFill="1" applyBorder="1" applyAlignment="1">
      <alignment horizontal="center"/>
    </xf>
    <xf numFmtId="0" fontId="2" fillId="8" borderId="24" xfId="0" applyFont="1" applyFill="1" applyBorder="1" applyAlignment="1">
      <alignment horizontal="center"/>
    </xf>
    <xf numFmtId="0" fontId="2" fillId="8" borderId="23" xfId="0" applyFont="1" applyFill="1" applyBorder="1" applyAlignment="1">
      <alignment horizontal="center"/>
    </xf>
    <xf numFmtId="0" fontId="9" fillId="3" borderId="4" xfId="0" applyFont="1" applyFill="1" applyBorder="1" applyAlignment="1">
      <alignment horizontal="left"/>
    </xf>
    <xf numFmtId="0" fontId="9" fillId="3" borderId="0" xfId="0" applyFont="1" applyFill="1" applyAlignment="1">
      <alignment horizontal="left"/>
    </xf>
    <xf numFmtId="0" fontId="18" fillId="0" borderId="3" xfId="0" applyFont="1" applyBorder="1" applyAlignment="1">
      <alignment horizontal="left" vertical="center" wrapText="1"/>
    </xf>
    <xf numFmtId="0" fontId="18" fillId="0" borderId="4" xfId="0" applyFont="1" applyBorder="1" applyAlignment="1">
      <alignment horizontal="left" vertical="center" wrapText="1"/>
    </xf>
    <xf numFmtId="0" fontId="18" fillId="0" borderId="7" xfId="0" applyFont="1" applyBorder="1" applyAlignment="1">
      <alignment horizontal="left" vertical="center" wrapText="1"/>
    </xf>
    <xf numFmtId="0" fontId="0" fillId="3" borderId="0" xfId="0" applyFill="1" applyAlignment="1">
      <alignment horizontal="left" vertical="top" wrapText="1"/>
    </xf>
    <xf numFmtId="0" fontId="13" fillId="0" borderId="16" xfId="2" applyFont="1" applyBorder="1" applyAlignment="1">
      <alignment horizontal="center" vertical="top" wrapText="1"/>
    </xf>
    <xf numFmtId="0" fontId="13" fillId="0" borderId="13" xfId="2" applyFont="1" applyBorder="1" applyAlignment="1">
      <alignment horizontal="center" vertical="center" textRotation="90" wrapText="1"/>
    </xf>
    <xf numFmtId="0" fontId="13" fillId="0" borderId="14" xfId="2" applyFont="1" applyBorder="1" applyAlignment="1">
      <alignment horizontal="center" vertical="center" textRotation="90" wrapText="1"/>
    </xf>
    <xf numFmtId="0" fontId="13" fillId="0" borderId="15" xfId="2" applyFont="1" applyBorder="1" applyAlignment="1">
      <alignment horizontal="center" vertical="center" textRotation="90" wrapText="1"/>
    </xf>
    <xf numFmtId="0" fontId="13" fillId="7" borderId="14" xfId="2" applyFont="1" applyFill="1" applyBorder="1" applyAlignment="1">
      <alignment horizontal="center" vertical="center" textRotation="90" wrapText="1"/>
    </xf>
    <xf numFmtId="0" fontId="13" fillId="8" borderId="14" xfId="2" applyFont="1" applyFill="1" applyBorder="1" applyAlignment="1">
      <alignment horizontal="center" vertical="center" textRotation="90" wrapText="1"/>
    </xf>
    <xf numFmtId="0" fontId="15" fillId="0" borderId="0" xfId="2" applyFont="1" applyAlignment="1">
      <alignment horizontal="center" vertical="center" wrapText="1"/>
    </xf>
    <xf numFmtId="0" fontId="14" fillId="0" borderId="0" xfId="2" applyFont="1" applyAlignment="1">
      <alignment horizontal="center" vertical="center" wrapText="1"/>
    </xf>
    <xf numFmtId="0" fontId="14" fillId="0" borderId="10" xfId="2" applyFont="1" applyBorder="1" applyAlignment="1">
      <alignment horizontal="center" vertical="center" wrapText="1"/>
    </xf>
    <xf numFmtId="0" fontId="14" fillId="0" borderId="11" xfId="2" applyFont="1" applyBorder="1" applyAlignment="1">
      <alignment horizontal="center" vertical="center" wrapText="1"/>
    </xf>
    <xf numFmtId="0" fontId="14" fillId="0" borderId="9" xfId="2" applyFont="1" applyBorder="1" applyAlignment="1">
      <alignment horizontal="center" vertical="center" wrapText="1"/>
    </xf>
  </cellXfs>
  <cellStyles count="3">
    <cellStyle name="Komma" xfId="1" builtinId="3"/>
    <cellStyle name="Normal" xfId="0" builtinId="0"/>
    <cellStyle name="Normal 2" xfId="2" xr:uid="{00000000-0005-0000-0000-000002000000}"/>
  </cellStyles>
  <dxfs count="6">
    <dxf>
      <numFmt numFmtId="2" formatCode="0.00"/>
    </dxf>
    <dxf>
      <numFmt numFmtId="166" formatCode="0.0"/>
    </dxf>
    <dxf>
      <numFmt numFmtId="167" formatCode="_ * #,##0_ ;_ * \-#,##0_ ;_ * &quot;-&quot;??_ ;_ @_ "/>
    </dxf>
    <dxf>
      <numFmt numFmtId="167" formatCode="_ * #,##0_ ;_ * \-#,##0_ ;_ * &quot;-&quot;??_ ;_ @_ "/>
    </dxf>
    <dxf>
      <numFmt numFmtId="165" formatCode="_ * #,##0.0_ ;_ * \-#,##0.0_ ;_ * &quot;-&quot;??_ ;_ @_ "/>
    </dxf>
    <dxf>
      <alignment horizontal="general" vertical="top" textRotation="0" wrapText="1" indent="0" justifyLastLine="0" shrinkToFit="0" readingOrder="0"/>
    </dxf>
  </dxfs>
  <tableStyles count="0" defaultTableStyle="TableStyleMedium2" defaultPivotStyle="PivotStyleLight16"/>
  <colors>
    <mruColors>
      <color rgb="FFAFCDA3"/>
      <color rgb="FFFF5050"/>
      <color rgb="FFFFCC66"/>
      <color rgb="FFFFCC00"/>
      <color rgb="FFFFFFCC"/>
      <color rgb="FFF7F7FF"/>
      <color rgb="FFEFE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32</xdr:row>
          <xdr:rowOff>171450</xdr:rowOff>
        </xdr:from>
        <xdr:to>
          <xdr:col>4</xdr:col>
          <xdr:colOff>247650</xdr:colOff>
          <xdr:row>34</xdr:row>
          <xdr:rowOff>57150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Opret ny facade</a:t>
              </a:r>
            </a:p>
          </xdr:txBody>
        </xdr:sp>
        <xdr:clientData fPrintsWithSheet="0"/>
      </xdr:twoCellAnchor>
    </mc:Choice>
    <mc:Fallback/>
  </mc:AlternateContent>
  <xdr:twoCellAnchor>
    <xdr:from>
      <xdr:col>4</xdr:col>
      <xdr:colOff>419100</xdr:colOff>
      <xdr:row>32</xdr:row>
      <xdr:rowOff>85725</xdr:rowOff>
    </xdr:from>
    <xdr:to>
      <xdr:col>5</xdr:col>
      <xdr:colOff>609600</xdr:colOff>
      <xdr:row>34</xdr:row>
      <xdr:rowOff>133350</xdr:rowOff>
    </xdr:to>
    <xdr:sp macro="" textlink="">
      <xdr:nvSpPr>
        <xdr:cNvPr id="2" name="Højrepil 1">
          <a:extLst>
            <a:ext uri="{FF2B5EF4-FFF2-40B4-BE49-F238E27FC236}">
              <a16:creationId xmlns:a16="http://schemas.microsoft.com/office/drawing/2014/main" id="{00000000-0008-0000-0000-000002000000}"/>
            </a:ext>
          </a:extLst>
        </xdr:cNvPr>
        <xdr:cNvSpPr/>
      </xdr:nvSpPr>
      <xdr:spPr>
        <a:xfrm flipH="1">
          <a:off x="2628900" y="6886575"/>
          <a:ext cx="800100" cy="523875"/>
        </a:xfrm>
        <a:prstGeom prst="rightArrow">
          <a:avLst/>
        </a:prstGeom>
        <a:solidFill>
          <a:schemeClr val="tx2">
            <a:lumMod val="40000"/>
            <a:lumOff val="6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a-DK" sz="1100"/>
            <a:t>Tryk</a:t>
          </a:r>
          <a:endParaRPr lang="da-DK" sz="1100" baseline="0"/>
        </a:p>
      </xdr:txBody>
    </xdr:sp>
    <xdr:clientData/>
  </xdr:twoCellAnchor>
  <xdr:twoCellAnchor editAs="oneCell">
    <xdr:from>
      <xdr:col>1</xdr:col>
      <xdr:colOff>9525</xdr:colOff>
      <xdr:row>0</xdr:row>
      <xdr:rowOff>19050</xdr:rowOff>
    </xdr:from>
    <xdr:to>
      <xdr:col>6</xdr:col>
      <xdr:colOff>0</xdr:colOff>
      <xdr:row>5</xdr:row>
      <xdr:rowOff>0</xdr:rowOff>
    </xdr:to>
    <xdr:pic>
      <xdr:nvPicPr>
        <xdr:cNvPr id="3" name="Billed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0525" y="19050"/>
          <a:ext cx="2857500" cy="1314450"/>
        </a:xfrm>
        <a:prstGeom prst="rect">
          <a:avLst/>
        </a:prstGeom>
        <a:ln>
          <a:solidFill>
            <a:sysClr val="windowText" lastClr="000000"/>
          </a:solidFill>
        </a:ln>
      </xdr:spPr>
    </xdr:pic>
    <xdr:clientData/>
  </xdr:twoCellAnchor>
  <xdr:oneCellAnchor>
    <xdr:from>
      <xdr:col>5</xdr:col>
      <xdr:colOff>378427</xdr:colOff>
      <xdr:row>0</xdr:row>
      <xdr:rowOff>40773</xdr:rowOff>
    </xdr:from>
    <xdr:ext cx="2964848" cy="530727"/>
    <xdr:sp macro="" textlink="">
      <xdr:nvSpPr>
        <xdr:cNvPr id="4" name="Rektangel 3">
          <a:extLst>
            <a:ext uri="{FF2B5EF4-FFF2-40B4-BE49-F238E27FC236}">
              <a16:creationId xmlns:a16="http://schemas.microsoft.com/office/drawing/2014/main" id="{00000000-0008-0000-0000-000004000000}"/>
            </a:ext>
          </a:extLst>
        </xdr:cNvPr>
        <xdr:cNvSpPr/>
      </xdr:nvSpPr>
      <xdr:spPr>
        <a:xfrm>
          <a:off x="3197827" y="40773"/>
          <a:ext cx="2964848" cy="530727"/>
        </a:xfrm>
        <a:prstGeom prst="rect">
          <a:avLst/>
        </a:prstGeom>
        <a:noFill/>
        <a:ln>
          <a:noFill/>
        </a:ln>
      </xdr:spPr>
      <xdr:txBody>
        <a:bodyPr wrap="square" lIns="91440" tIns="45720" rIns="91440" bIns="45720">
          <a:noAutofit/>
        </a:bodyPr>
        <a:lstStyle/>
        <a:p>
          <a:pPr algn="ctr"/>
          <a:r>
            <a:rPr lang="da-DK" sz="1600" b="1" cap="none" spc="0">
              <a:ln w="10160">
                <a:solidFill>
                  <a:schemeClr val="tx1">
                    <a:lumMod val="65000"/>
                    <a:lumOff val="35000"/>
                  </a:schemeClr>
                </a:solidFill>
                <a:prstDash val="solid"/>
              </a:ln>
              <a:solidFill>
                <a:srgbClr val="FFFFFF"/>
              </a:solidFill>
              <a:effectLst>
                <a:outerShdw blurRad="38100" dist="22860" dir="5400000" algn="tl" rotWithShape="0">
                  <a:srgbClr val="000000">
                    <a:alpha val="30000"/>
                  </a:srgbClr>
                </a:outerShdw>
              </a:effectLst>
            </a:rPr>
            <a:t>Værktøj til generering af murværk og åbninger i facaden</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56</xdr:row>
          <xdr:rowOff>57150</xdr:rowOff>
        </xdr:from>
        <xdr:to>
          <xdr:col>9</xdr:col>
          <xdr:colOff>9525</xdr:colOff>
          <xdr:row>58</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1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Indsæt åbning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58</xdr:row>
          <xdr:rowOff>133350</xdr:rowOff>
        </xdr:from>
        <xdr:to>
          <xdr:col>9</xdr:col>
          <xdr:colOff>9525</xdr:colOff>
          <xdr:row>61</xdr:row>
          <xdr:rowOff>9525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100-000002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Lav pdf-fil af facade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61</xdr:row>
          <xdr:rowOff>66675</xdr:rowOff>
        </xdr:from>
        <xdr:to>
          <xdr:col>9</xdr:col>
          <xdr:colOff>9525</xdr:colOff>
          <xdr:row>63</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100-000003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Lav pdf-fil af alle facader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56</xdr:row>
          <xdr:rowOff>57150</xdr:rowOff>
        </xdr:from>
        <xdr:to>
          <xdr:col>9</xdr:col>
          <xdr:colOff>9525</xdr:colOff>
          <xdr:row>58</xdr:row>
          <xdr:rowOff>76200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2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Indsæt åbning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58</xdr:row>
          <xdr:rowOff>133350</xdr:rowOff>
        </xdr:from>
        <xdr:to>
          <xdr:col>9</xdr:col>
          <xdr:colOff>9525</xdr:colOff>
          <xdr:row>61</xdr:row>
          <xdr:rowOff>9525</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Lav pdf-fil af facade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61</xdr:row>
          <xdr:rowOff>66675</xdr:rowOff>
        </xdr:from>
        <xdr:to>
          <xdr:col>9</xdr:col>
          <xdr:colOff>9525</xdr:colOff>
          <xdr:row>63</xdr:row>
          <xdr:rowOff>85725</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200-00000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Lav pdf-fil af alle facader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56</xdr:row>
          <xdr:rowOff>57150</xdr:rowOff>
        </xdr:from>
        <xdr:to>
          <xdr:col>9</xdr:col>
          <xdr:colOff>9525</xdr:colOff>
          <xdr:row>58</xdr:row>
          <xdr:rowOff>76200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3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Indsæt åbning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58</xdr:row>
          <xdr:rowOff>133350</xdr:rowOff>
        </xdr:from>
        <xdr:to>
          <xdr:col>9</xdr:col>
          <xdr:colOff>9525</xdr:colOff>
          <xdr:row>61</xdr:row>
          <xdr:rowOff>9525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3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Lav pdf-fil af facade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61</xdr:row>
          <xdr:rowOff>66675</xdr:rowOff>
        </xdr:from>
        <xdr:to>
          <xdr:col>9</xdr:col>
          <xdr:colOff>9525</xdr:colOff>
          <xdr:row>63</xdr:row>
          <xdr:rowOff>85725</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300-000003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Lav pdf-fil af alle facader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56</xdr:row>
          <xdr:rowOff>57150</xdr:rowOff>
        </xdr:from>
        <xdr:to>
          <xdr:col>9</xdr:col>
          <xdr:colOff>9525</xdr:colOff>
          <xdr:row>58</xdr:row>
          <xdr:rowOff>76200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Indsæt åbning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58</xdr:row>
          <xdr:rowOff>133350</xdr:rowOff>
        </xdr:from>
        <xdr:to>
          <xdr:col>9</xdr:col>
          <xdr:colOff>9525</xdr:colOff>
          <xdr:row>61</xdr:row>
          <xdr:rowOff>9525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Lav pdf-fil af facade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61</xdr:row>
          <xdr:rowOff>66675</xdr:rowOff>
        </xdr:from>
        <xdr:to>
          <xdr:col>9</xdr:col>
          <xdr:colOff>9525</xdr:colOff>
          <xdr:row>63</xdr:row>
          <xdr:rowOff>85725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Lav pdf-fil af alle facader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1" displayName="Tabel1" ref="A4:I7" totalsRowShown="0" headerRowDxfId="5">
  <autoFilter ref="A4:I7" xr:uid="{00000000-0009-0000-0100-000001000000}"/>
  <tableColumns count="9">
    <tableColumn id="1" xr3:uid="{00000000-0010-0000-0000-000001000000}" name="Navn på facade:"/>
    <tableColumn id="2" xr3:uid="{00000000-0010-0000-0000-000002000000}" name="Antal m² ekskl. åbninger:" dataDxfId="4" dataCellStyle="Komma"/>
    <tableColumn id="4" xr3:uid="{00000000-0010-0000-0000-000004000000}" name="Længde mm:" dataDxfId="3" dataCellStyle="Komma"/>
    <tableColumn id="5" xr3:uid="{00000000-0010-0000-0000-000005000000}" name="Højde mm:" dataDxfId="2" dataCellStyle="Komma"/>
    <tableColumn id="3" xr3:uid="{00000000-0010-0000-0000-000003000000}" name="Forbandt:"/>
    <tableColumn id="8" xr3:uid="{00000000-0010-0000-0000-000008000000}" name="Startsten i venstre hjørne:"/>
    <tableColumn id="7" xr3:uid="{00000000-0010-0000-0000-000007000000}" name="Startsten i højre hjørne:"/>
    <tableColumn id="6" xr3:uid="{00000000-0010-0000-0000-000006000000}" name="Kommentar:"/>
    <tableColumn id="10" xr3:uid="{00000000-0010-0000-0000-00000A000000}" name="Fradrag m²" dataDxfId="1">
      <calculatedColumnFormula>SUMIF(Tabel13[[#All],[Navn på facade:]],Tabel1[[#This Row],[Navn på facade:]],Tabel13[[#All],[Antal m² åbning:]])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13" displayName="Tabel13" ref="A4:G13" totalsRowShown="0">
  <autoFilter ref="A4:G13" xr:uid="{00000000-0009-0000-0100-000002000000}"/>
  <tableColumns count="7">
    <tableColumn id="1" xr3:uid="{00000000-0010-0000-0100-000001000000}" name="Navn på facade:"/>
    <tableColumn id="7" xr3:uid="{00000000-0010-0000-0100-000007000000}" name="Vinduesnr.:"/>
    <tableColumn id="2" xr3:uid="{00000000-0010-0000-0100-000002000000}" name="Antal m² åbning:" dataDxfId="0"/>
    <tableColumn id="5" xr3:uid="{00000000-0010-0000-0100-000005000000}" name="Længde mm:"/>
    <tableColumn id="6" xr3:uid="{00000000-0010-0000-0100-000006000000}" name="Højde mm:"/>
    <tableColumn id="3" xr3:uid="{00000000-0010-0000-0100-000003000000}" name="Længde på overligger:"/>
    <tableColumn id="4" xr3:uid="{00000000-0010-0000-0100-000004000000}" name="Kommentar:"/>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0.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B0F0"/>
  </sheetPr>
  <dimension ref="A1:U61"/>
  <sheetViews>
    <sheetView showGridLines="0" tabSelected="1" workbookViewId="0"/>
  </sheetViews>
  <sheetFormatPr defaultRowHeight="15" x14ac:dyDescent="0.25"/>
  <cols>
    <col min="1" max="1" width="5.7109375" style="7" customWidth="1"/>
    <col min="2" max="5" width="9.140625" style="7"/>
    <col min="6" max="6" width="6.42578125" style="7" customWidth="1"/>
    <col min="7" max="8" width="11.42578125" style="7" customWidth="1"/>
    <col min="9" max="9" width="9.140625" style="7"/>
    <col min="10" max="10" width="10.42578125" style="7" bestFit="1" customWidth="1"/>
    <col min="11" max="11" width="9.140625" style="7"/>
    <col min="12" max="12" width="10.42578125" style="7" bestFit="1" customWidth="1"/>
    <col min="13" max="15" width="9.140625" style="7"/>
    <col min="16" max="20" width="11.42578125" style="7" customWidth="1"/>
    <col min="21" max="16384" width="9.140625" style="7"/>
  </cols>
  <sheetData>
    <row r="1" spans="2:21" ht="45" customHeight="1" x14ac:dyDescent="0.7">
      <c r="G1" s="132"/>
      <c r="H1" s="133"/>
      <c r="I1" s="133"/>
      <c r="J1" s="134"/>
      <c r="L1" s="85"/>
      <c r="M1" s="84"/>
    </row>
    <row r="2" spans="2:21" x14ac:dyDescent="0.25">
      <c r="G2" s="74"/>
      <c r="H2" s="75"/>
      <c r="I2" s="75"/>
      <c r="J2" s="76"/>
      <c r="L2" s="84"/>
      <c r="M2" s="84"/>
    </row>
    <row r="3" spans="2:21" x14ac:dyDescent="0.25">
      <c r="G3" s="77"/>
      <c r="H3"/>
      <c r="I3" s="78" t="s">
        <v>75</v>
      </c>
      <c r="J3" s="79" t="s">
        <v>78</v>
      </c>
    </row>
    <row r="4" spans="2:21" x14ac:dyDescent="0.25">
      <c r="G4" s="72"/>
      <c r="H4"/>
      <c r="I4" s="80" t="s">
        <v>1</v>
      </c>
      <c r="J4" s="81">
        <v>43443</v>
      </c>
    </row>
    <row r="5" spans="2:21" x14ac:dyDescent="0.25">
      <c r="G5" s="78"/>
      <c r="H5" s="82"/>
      <c r="I5" s="82"/>
      <c r="J5" s="83" t="s">
        <v>76</v>
      </c>
    </row>
    <row r="6" spans="2:21" x14ac:dyDescent="0.25">
      <c r="B6" s="26"/>
      <c r="C6" s="130" t="s">
        <v>2</v>
      </c>
      <c r="D6" s="130"/>
      <c r="E6" s="27"/>
      <c r="F6" s="27"/>
      <c r="G6" s="9"/>
      <c r="H6" s="9"/>
      <c r="I6" s="9"/>
      <c r="J6" s="10"/>
      <c r="L6" s="26"/>
      <c r="M6" s="27"/>
      <c r="N6" s="27"/>
      <c r="O6" s="27"/>
      <c r="P6" s="27"/>
      <c r="Q6" s="27"/>
      <c r="R6" s="27"/>
      <c r="S6" s="27"/>
      <c r="T6" s="27"/>
      <c r="U6" s="28"/>
    </row>
    <row r="7" spans="2:21" ht="21" x14ac:dyDescent="0.35">
      <c r="B7" s="24"/>
      <c r="C7" s="131"/>
      <c r="D7" s="131"/>
      <c r="E7" s="9"/>
      <c r="F7" s="9"/>
      <c r="G7" s="9"/>
      <c r="H7" s="9"/>
      <c r="I7" s="9"/>
      <c r="J7" s="10"/>
      <c r="L7" s="24"/>
      <c r="M7" s="25" t="s">
        <v>66</v>
      </c>
      <c r="N7" s="9"/>
      <c r="O7" s="9"/>
      <c r="P7" s="9"/>
      <c r="Q7" s="9"/>
      <c r="R7" s="9"/>
      <c r="S7" s="9"/>
      <c r="T7" s="9"/>
      <c r="U7" s="69"/>
    </row>
    <row r="8" spans="2:21" x14ac:dyDescent="0.25">
      <c r="B8" s="8"/>
      <c r="C8" s="135" t="s">
        <v>4</v>
      </c>
      <c r="D8" s="135"/>
      <c r="E8" s="135"/>
      <c r="F8" s="135"/>
      <c r="G8" s="135"/>
      <c r="H8" s="135"/>
      <c r="I8" s="135"/>
      <c r="J8" s="10"/>
      <c r="L8" s="8"/>
      <c r="M8" s="58"/>
      <c r="N8" s="58"/>
      <c r="O8" s="58"/>
      <c r="P8" s="58"/>
      <c r="Q8" s="58"/>
      <c r="R8" s="58"/>
      <c r="S8" s="58"/>
      <c r="T8" s="9"/>
      <c r="U8" s="10"/>
    </row>
    <row r="9" spans="2:21" ht="15.75" thickBot="1" x14ac:dyDescent="0.3">
      <c r="B9" s="8"/>
      <c r="C9" s="135"/>
      <c r="D9" s="135"/>
      <c r="E9" s="135"/>
      <c r="F9" s="135"/>
      <c r="G9" s="135"/>
      <c r="H9" s="135"/>
      <c r="I9" s="135"/>
      <c r="J9" s="10"/>
      <c r="L9" s="8"/>
      <c r="M9" s="58"/>
      <c r="N9" s="58"/>
      <c r="O9" s="58"/>
      <c r="P9" s="58"/>
      <c r="Q9" s="58"/>
      <c r="R9" s="58"/>
      <c r="S9" s="58"/>
      <c r="T9" s="9"/>
      <c r="U9" s="10"/>
    </row>
    <row r="10" spans="2:21" ht="14.25" customHeight="1" thickBot="1" x14ac:dyDescent="0.3">
      <c r="B10" s="8"/>
      <c r="C10" s="135"/>
      <c r="D10" s="135"/>
      <c r="E10" s="135"/>
      <c r="F10" s="135"/>
      <c r="G10" s="135"/>
      <c r="H10" s="135"/>
      <c r="I10" s="135"/>
      <c r="J10" s="10"/>
      <c r="L10" s="8"/>
      <c r="M10" s="63"/>
      <c r="N10" s="63"/>
      <c r="O10" s="64"/>
      <c r="P10" s="67" t="s">
        <v>70</v>
      </c>
      <c r="Q10" s="68" t="s">
        <v>67</v>
      </c>
      <c r="R10" s="58"/>
      <c r="S10" s="58"/>
      <c r="T10" s="9"/>
      <c r="U10" s="10"/>
    </row>
    <row r="11" spans="2:21" x14ac:dyDescent="0.25">
      <c r="B11" s="8"/>
      <c r="C11" s="135"/>
      <c r="D11" s="135"/>
      <c r="E11" s="135"/>
      <c r="F11" s="135"/>
      <c r="G11" s="135"/>
      <c r="H11" s="135"/>
      <c r="I11" s="135"/>
      <c r="J11" s="10"/>
      <c r="L11" s="8"/>
      <c r="M11" s="58"/>
      <c r="N11" s="58"/>
      <c r="O11" s="58"/>
      <c r="P11" s="58"/>
      <c r="Q11" s="58"/>
      <c r="R11" s="58"/>
      <c r="S11" s="58"/>
      <c r="T11" s="9"/>
      <c r="U11" s="10"/>
    </row>
    <row r="12" spans="2:21" ht="14.25" customHeight="1" thickBot="1" x14ac:dyDescent="0.3">
      <c r="B12" s="8"/>
      <c r="C12" s="135"/>
      <c r="D12" s="135"/>
      <c r="E12" s="135"/>
      <c r="F12" s="135"/>
      <c r="G12" s="135"/>
      <c r="H12" s="135"/>
      <c r="I12" s="135"/>
      <c r="J12" s="10"/>
      <c r="L12" s="8"/>
      <c r="M12" s="58"/>
      <c r="N12" s="58"/>
      <c r="O12" s="58"/>
      <c r="P12" s="58"/>
      <c r="Q12" s="58"/>
      <c r="R12" s="58"/>
      <c r="S12" s="58"/>
      <c r="T12" s="9"/>
      <c r="U12" s="10"/>
    </row>
    <row r="13" spans="2:21" ht="14.25" customHeight="1" thickBot="1" x14ac:dyDescent="0.3">
      <c r="B13" s="8"/>
      <c r="C13" s="9"/>
      <c r="D13" s="9"/>
      <c r="E13" s="9"/>
      <c r="F13" s="9"/>
      <c r="G13" s="9"/>
      <c r="H13" s="9"/>
      <c r="I13" s="9"/>
      <c r="J13" s="10"/>
      <c r="L13" s="8"/>
      <c r="M13" s="61"/>
      <c r="N13" s="61"/>
      <c r="O13" s="62"/>
      <c r="P13" s="67" t="s">
        <v>70</v>
      </c>
      <c r="Q13" s="68" t="s">
        <v>68</v>
      </c>
      <c r="R13" s="58"/>
      <c r="S13" s="58"/>
      <c r="T13" s="9"/>
      <c r="U13" s="10"/>
    </row>
    <row r="14" spans="2:21" ht="21" x14ac:dyDescent="0.35">
      <c r="B14" s="8"/>
      <c r="C14" s="25" t="s">
        <v>3</v>
      </c>
      <c r="D14" s="9"/>
      <c r="E14" s="9"/>
      <c r="F14" s="9"/>
      <c r="G14" s="9"/>
      <c r="H14" s="9"/>
      <c r="I14" s="9"/>
      <c r="J14" s="10"/>
      <c r="L14" s="8"/>
      <c r="M14" s="58"/>
      <c r="N14" s="58"/>
      <c r="O14" s="58"/>
      <c r="P14" s="58"/>
      <c r="Q14" s="58"/>
      <c r="R14" s="58"/>
      <c r="S14" s="58"/>
      <c r="T14" s="9"/>
      <c r="U14" s="10"/>
    </row>
    <row r="15" spans="2:21" ht="15" customHeight="1" thickBot="1" x14ac:dyDescent="0.3">
      <c r="B15" s="8"/>
      <c r="C15" s="135" t="s">
        <v>65</v>
      </c>
      <c r="D15" s="135"/>
      <c r="E15" s="135"/>
      <c r="F15" s="135"/>
      <c r="G15" s="135"/>
      <c r="H15" s="135"/>
      <c r="I15" s="135"/>
      <c r="J15" s="10"/>
      <c r="L15" s="8"/>
      <c r="M15" s="58"/>
      <c r="N15" s="58"/>
      <c r="O15" s="58"/>
      <c r="P15" s="58"/>
      <c r="Q15" s="58"/>
      <c r="R15" s="58"/>
      <c r="S15" s="58"/>
      <c r="T15" s="9"/>
      <c r="U15" s="10"/>
    </row>
    <row r="16" spans="2:21" ht="14.25" customHeight="1" thickBot="1" x14ac:dyDescent="0.3">
      <c r="B16" s="8"/>
      <c r="C16" s="135"/>
      <c r="D16" s="135"/>
      <c r="E16" s="135"/>
      <c r="F16" s="135"/>
      <c r="G16" s="135"/>
      <c r="H16" s="135"/>
      <c r="I16" s="135"/>
      <c r="J16" s="10"/>
      <c r="L16" s="8"/>
      <c r="M16" s="59"/>
      <c r="N16" s="59"/>
      <c r="O16" s="60"/>
      <c r="P16" s="67" t="s">
        <v>70</v>
      </c>
      <c r="Q16" s="68" t="s">
        <v>69</v>
      </c>
      <c r="R16" s="58"/>
      <c r="S16" s="58"/>
      <c r="T16" s="9"/>
      <c r="U16" s="10"/>
    </row>
    <row r="17" spans="2:21" x14ac:dyDescent="0.25">
      <c r="B17" s="8"/>
      <c r="C17" s="135"/>
      <c r="D17" s="135"/>
      <c r="E17" s="135"/>
      <c r="F17" s="135"/>
      <c r="G17" s="135"/>
      <c r="H17" s="135"/>
      <c r="I17" s="135"/>
      <c r="J17" s="10"/>
      <c r="L17" s="8"/>
      <c r="M17" s="58"/>
      <c r="N17" s="58"/>
      <c r="O17" s="58"/>
      <c r="P17" s="58"/>
      <c r="Q17" s="58"/>
      <c r="R17" s="58"/>
      <c r="S17" s="58"/>
      <c r="T17" s="9"/>
      <c r="U17" s="10"/>
    </row>
    <row r="18" spans="2:21" ht="15.75" thickBot="1" x14ac:dyDescent="0.3">
      <c r="B18" s="8"/>
      <c r="C18" s="135"/>
      <c r="D18" s="135"/>
      <c r="E18" s="135"/>
      <c r="F18" s="135"/>
      <c r="G18" s="135"/>
      <c r="H18" s="135"/>
      <c r="I18" s="135"/>
      <c r="J18" s="10"/>
      <c r="L18" s="8"/>
      <c r="M18" s="58"/>
      <c r="N18" s="58"/>
      <c r="O18" s="58"/>
      <c r="P18" s="58"/>
      <c r="Q18" s="58"/>
      <c r="R18" s="58"/>
      <c r="S18" s="58"/>
      <c r="T18" s="9"/>
      <c r="U18" s="10"/>
    </row>
    <row r="19" spans="2:21" ht="14.25" customHeight="1" thickBot="1" x14ac:dyDescent="0.3">
      <c r="B19" s="8"/>
      <c r="C19" s="135"/>
      <c r="D19" s="135"/>
      <c r="E19" s="135"/>
      <c r="F19" s="135"/>
      <c r="G19" s="135"/>
      <c r="H19" s="135"/>
      <c r="I19" s="135"/>
      <c r="J19" s="10"/>
      <c r="L19" s="8"/>
      <c r="M19" s="65"/>
      <c r="N19" s="65"/>
      <c r="O19" s="66"/>
      <c r="P19" s="67" t="s">
        <v>70</v>
      </c>
      <c r="Q19" s="135" t="s">
        <v>71</v>
      </c>
      <c r="R19" s="135"/>
      <c r="S19" s="135"/>
      <c r="T19" s="135"/>
      <c r="U19" s="10"/>
    </row>
    <row r="20" spans="2:21" x14ac:dyDescent="0.25">
      <c r="B20" s="8"/>
      <c r="C20" s="135"/>
      <c r="D20" s="135"/>
      <c r="E20" s="135"/>
      <c r="F20" s="135"/>
      <c r="G20" s="135"/>
      <c r="H20" s="135"/>
      <c r="I20" s="135"/>
      <c r="J20" s="10"/>
      <c r="L20" s="8"/>
      <c r="M20" s="58"/>
      <c r="N20" s="58"/>
      <c r="O20" s="58"/>
      <c r="P20" s="58"/>
      <c r="Q20" s="135"/>
      <c r="R20" s="135"/>
      <c r="S20" s="135"/>
      <c r="T20" s="135"/>
      <c r="U20" s="10"/>
    </row>
    <row r="21" spans="2:21" x14ac:dyDescent="0.25">
      <c r="B21" s="8"/>
      <c r="C21" s="135"/>
      <c r="D21" s="135"/>
      <c r="E21" s="135"/>
      <c r="F21" s="135"/>
      <c r="G21" s="135"/>
      <c r="H21" s="135"/>
      <c r="I21" s="135"/>
      <c r="J21" s="10"/>
      <c r="L21" s="8"/>
      <c r="M21" s="58"/>
      <c r="N21" s="58"/>
      <c r="O21" s="58"/>
      <c r="P21" s="58"/>
      <c r="Q21" s="58"/>
      <c r="R21" s="58"/>
      <c r="S21" s="58"/>
      <c r="T21" s="9"/>
      <c r="U21" s="10"/>
    </row>
    <row r="22" spans="2:21" x14ac:dyDescent="0.25">
      <c r="B22" s="8"/>
      <c r="C22" s="135"/>
      <c r="D22" s="135"/>
      <c r="E22" s="135"/>
      <c r="F22" s="135"/>
      <c r="G22" s="135"/>
      <c r="H22" s="135"/>
      <c r="I22" s="135"/>
      <c r="J22" s="10"/>
      <c r="L22" s="26"/>
      <c r="M22" s="27"/>
      <c r="N22" s="27"/>
      <c r="O22" s="27"/>
      <c r="P22" s="27"/>
      <c r="Q22" s="27"/>
      <c r="R22" s="27"/>
      <c r="S22" s="27"/>
      <c r="T22" s="27"/>
      <c r="U22" s="28"/>
    </row>
    <row r="23" spans="2:21" ht="21" x14ac:dyDescent="0.35">
      <c r="B23" s="8"/>
      <c r="C23" s="135"/>
      <c r="D23" s="135"/>
      <c r="E23" s="135"/>
      <c r="F23" s="135"/>
      <c r="G23" s="135"/>
      <c r="H23" s="135"/>
      <c r="I23" s="135"/>
      <c r="J23" s="10"/>
      <c r="L23" s="8"/>
      <c r="M23" s="25" t="s">
        <v>72</v>
      </c>
      <c r="N23" s="9"/>
      <c r="O23" s="9"/>
      <c r="P23" s="9"/>
      <c r="Q23" s="9"/>
      <c r="R23" s="9"/>
      <c r="S23" s="9"/>
      <c r="T23" s="9"/>
      <c r="U23" s="10"/>
    </row>
    <row r="24" spans="2:21" x14ac:dyDescent="0.25">
      <c r="B24" s="8"/>
      <c r="C24" s="135"/>
      <c r="D24" s="135"/>
      <c r="E24" s="135"/>
      <c r="F24" s="135"/>
      <c r="G24" s="135"/>
      <c r="H24" s="135"/>
      <c r="I24" s="135"/>
      <c r="J24" s="10"/>
      <c r="L24" s="8"/>
      <c r="M24" s="9"/>
      <c r="N24" s="9"/>
      <c r="O24" s="9"/>
      <c r="P24" s="9"/>
      <c r="Q24" s="9"/>
      <c r="R24" s="9"/>
      <c r="S24" s="9"/>
      <c r="T24" s="9"/>
      <c r="U24" s="10"/>
    </row>
    <row r="25" spans="2:21" ht="15" customHeight="1" x14ac:dyDescent="0.25">
      <c r="B25" s="8"/>
      <c r="C25" s="135"/>
      <c r="D25" s="135"/>
      <c r="E25" s="135"/>
      <c r="F25" s="135"/>
      <c r="G25" s="135"/>
      <c r="H25" s="135"/>
      <c r="I25" s="135"/>
      <c r="J25" s="10"/>
      <c r="L25" s="8"/>
      <c r="M25" s="135" t="s">
        <v>77</v>
      </c>
      <c r="N25" s="135"/>
      <c r="O25" s="135"/>
      <c r="P25" s="135"/>
      <c r="Q25" s="135"/>
      <c r="R25" s="135"/>
      <c r="S25" s="135"/>
      <c r="T25" s="135"/>
      <c r="U25" s="10"/>
    </row>
    <row r="26" spans="2:21" ht="21" x14ac:dyDescent="0.35">
      <c r="B26" s="8"/>
      <c r="C26" s="25" t="s">
        <v>5</v>
      </c>
      <c r="D26" s="9"/>
      <c r="E26" s="9"/>
      <c r="F26" s="9"/>
      <c r="G26" s="9"/>
      <c r="H26" s="9"/>
      <c r="I26" s="9"/>
      <c r="J26" s="10"/>
      <c r="L26" s="8"/>
      <c r="M26" s="135"/>
      <c r="N26" s="135"/>
      <c r="O26" s="135"/>
      <c r="P26" s="135"/>
      <c r="Q26" s="135"/>
      <c r="R26" s="135"/>
      <c r="S26" s="135"/>
      <c r="T26" s="135"/>
      <c r="U26" s="10"/>
    </row>
    <row r="27" spans="2:21" ht="15" customHeight="1" x14ac:dyDescent="0.25">
      <c r="B27" s="8"/>
      <c r="C27" s="135" t="s">
        <v>62</v>
      </c>
      <c r="D27" s="135"/>
      <c r="E27" s="135"/>
      <c r="F27" s="135"/>
      <c r="G27" s="135"/>
      <c r="H27" s="135"/>
      <c r="I27" s="135"/>
      <c r="J27" s="10"/>
      <c r="L27" s="8"/>
      <c r="M27" s="135"/>
      <c r="N27" s="135"/>
      <c r="O27" s="135"/>
      <c r="P27" s="135"/>
      <c r="Q27" s="135"/>
      <c r="R27" s="135"/>
      <c r="S27" s="135"/>
      <c r="T27" s="135"/>
      <c r="U27" s="10"/>
    </row>
    <row r="28" spans="2:21" x14ac:dyDescent="0.25">
      <c r="B28" s="8"/>
      <c r="C28" s="135"/>
      <c r="D28" s="135"/>
      <c r="E28" s="135"/>
      <c r="F28" s="135"/>
      <c r="G28" s="135"/>
      <c r="H28" s="135"/>
      <c r="I28" s="135"/>
      <c r="J28" s="10"/>
      <c r="L28" s="8"/>
      <c r="M28" s="135"/>
      <c r="N28" s="135"/>
      <c r="O28" s="135"/>
      <c r="P28" s="135"/>
      <c r="Q28" s="135"/>
      <c r="R28" s="135"/>
      <c r="S28" s="135"/>
      <c r="T28" s="135"/>
      <c r="U28" s="10"/>
    </row>
    <row r="29" spans="2:21" x14ac:dyDescent="0.25">
      <c r="B29" s="8"/>
      <c r="C29" s="135"/>
      <c r="D29" s="135"/>
      <c r="E29" s="135"/>
      <c r="F29" s="135"/>
      <c r="G29" s="135"/>
      <c r="H29" s="135"/>
      <c r="I29" s="135"/>
      <c r="J29" s="10"/>
      <c r="L29" s="11"/>
      <c r="M29" s="12"/>
      <c r="N29" s="12"/>
      <c r="O29" s="12"/>
      <c r="P29" s="12"/>
      <c r="Q29" s="12"/>
      <c r="R29" s="12"/>
      <c r="S29" s="12"/>
      <c r="T29" s="12"/>
      <c r="U29" s="13"/>
    </row>
    <row r="30" spans="2:21" x14ac:dyDescent="0.25">
      <c r="B30" s="8"/>
      <c r="C30" s="135"/>
      <c r="D30" s="135"/>
      <c r="E30" s="135"/>
      <c r="F30" s="135"/>
      <c r="G30" s="135"/>
      <c r="H30" s="135"/>
      <c r="I30" s="135"/>
      <c r="J30" s="10"/>
      <c r="L30" s="73"/>
    </row>
    <row r="31" spans="2:21" x14ac:dyDescent="0.25">
      <c r="B31" s="8"/>
      <c r="C31" s="135"/>
      <c r="D31" s="135"/>
      <c r="E31" s="135"/>
      <c r="F31" s="135"/>
      <c r="G31" s="135"/>
      <c r="H31" s="135"/>
      <c r="I31" s="135"/>
      <c r="J31" s="10"/>
    </row>
    <row r="32" spans="2:21" x14ac:dyDescent="0.25">
      <c r="B32" s="11"/>
      <c r="C32" s="12"/>
      <c r="D32" s="12"/>
      <c r="E32" s="12"/>
      <c r="F32" s="12"/>
      <c r="G32" s="12"/>
      <c r="H32" s="12"/>
      <c r="I32" s="12"/>
      <c r="J32" s="13"/>
    </row>
    <row r="33" spans="2:10" ht="18" customHeight="1" x14ac:dyDescent="0.25">
      <c r="B33" s="26"/>
      <c r="C33" s="27"/>
      <c r="D33" s="27"/>
      <c r="E33" s="27"/>
      <c r="F33" s="27"/>
      <c r="G33" s="27"/>
      <c r="H33" s="27"/>
      <c r="I33" s="27"/>
      <c r="J33" s="28"/>
    </row>
    <row r="34" spans="2:10" ht="18" customHeight="1" x14ac:dyDescent="0.25">
      <c r="B34" s="8"/>
      <c r="C34" s="9"/>
      <c r="D34" s="9"/>
      <c r="E34" s="9"/>
      <c r="F34" s="9"/>
      <c r="G34" s="9"/>
      <c r="H34" s="9"/>
      <c r="I34" s="9"/>
      <c r="J34" s="10"/>
    </row>
    <row r="35" spans="2:10" ht="18" customHeight="1" x14ac:dyDescent="0.25">
      <c r="B35" s="11"/>
      <c r="C35" s="12"/>
      <c r="D35" s="12"/>
      <c r="E35" s="12"/>
      <c r="F35" s="12"/>
      <c r="G35" s="12"/>
      <c r="H35" s="12"/>
      <c r="I35" s="12"/>
      <c r="J35" s="13"/>
    </row>
    <row r="58" spans="1:1" x14ac:dyDescent="0.25">
      <c r="A58" s="7">
        <v>240</v>
      </c>
    </row>
    <row r="61" spans="1:1" x14ac:dyDescent="0.25">
      <c r="A61" s="7">
        <v>180</v>
      </c>
    </row>
  </sheetData>
  <sheetProtection algorithmName="SHA-512" hashValue="ihtEfGOGE+CA2R6F2DA8j+xK73WtBam3MmO+J0r5J30Zxn+F9ve+ImcWHVywwLPp/xhTVtZa2/HG+6tvO+vSGw==" saltValue="Kj/5J49S8ul2pCgD15AiZQ==" spinCount="100000" sheet="1" objects="1" scenarios="1"/>
  <mergeCells count="7">
    <mergeCell ref="C6:D7"/>
    <mergeCell ref="G1:J1"/>
    <mergeCell ref="Q19:T20"/>
    <mergeCell ref="C8:I12"/>
    <mergeCell ref="C27:I31"/>
    <mergeCell ref="C15:I25"/>
    <mergeCell ref="M25:T28"/>
  </mergeCells>
  <pageMargins left="0.7" right="0.7" top="0.75" bottom="0.75" header="0.3" footer="0.3"/>
  <pageSetup paperSize="9" orientation="portrait" horizontalDpi="1200" verticalDpi="12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indtast_længde">
                <anchor moveWithCells="1" sizeWithCells="1">
                  <from>
                    <xdr:col>2</xdr:col>
                    <xdr:colOff>28575</xdr:colOff>
                    <xdr:row>32</xdr:row>
                    <xdr:rowOff>171450</xdr:rowOff>
                  </from>
                  <to>
                    <xdr:col>4</xdr:col>
                    <xdr:colOff>247650</xdr:colOff>
                    <xdr:row>34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4">
    <tabColor rgb="FFFFFF00"/>
  </sheetPr>
  <dimension ref="A1:SG68"/>
  <sheetViews>
    <sheetView showGridLines="0" zoomScale="70" zoomScaleNormal="70" workbookViewId="0"/>
  </sheetViews>
  <sheetFormatPr defaultColWidth="1.7109375" defaultRowHeight="9.75" customHeight="1" x14ac:dyDescent="0.25"/>
  <cols>
    <col min="1" max="1" width="8.5703125" style="1" customWidth="1"/>
    <col min="2" max="185" width="1.7109375" style="2" customWidth="1"/>
    <col min="186" max="501" width="1.7109375" style="2" hidden="1" customWidth="1"/>
    <col min="502" max="502" width="0" style="2" hidden="1" customWidth="1"/>
    <col min="503" max="16384" width="1.7109375" style="2"/>
  </cols>
  <sheetData>
    <row r="1" spans="1:185" ht="30" customHeight="1" x14ac:dyDescent="0.25">
      <c r="B1" s="5" t="s">
        <v>95</v>
      </c>
    </row>
    <row r="2" spans="1:185" s="1" customFormat="1" ht="9.75" customHeight="1" thickBot="1" x14ac:dyDescent="0.25">
      <c r="A2" s="3">
        <v>360</v>
      </c>
      <c r="B2" s="108"/>
      <c r="C2" s="97"/>
      <c r="D2" s="104"/>
      <c r="E2" s="97"/>
      <c r="F2" s="97"/>
      <c r="G2" s="97"/>
      <c r="H2" s="97"/>
      <c r="I2" s="96"/>
      <c r="J2" s="97"/>
      <c r="K2" s="97"/>
      <c r="L2" s="97"/>
      <c r="M2" s="96"/>
      <c r="N2" s="97"/>
      <c r="O2" s="97"/>
      <c r="P2" s="97"/>
      <c r="Q2" s="96"/>
      <c r="R2" s="97"/>
      <c r="S2" s="97"/>
      <c r="T2" s="97"/>
      <c r="U2" s="96"/>
      <c r="V2" s="97"/>
      <c r="W2" s="97"/>
      <c r="X2" s="97"/>
      <c r="Y2" s="96"/>
      <c r="Z2" s="97"/>
      <c r="AA2" s="97"/>
      <c r="AB2" s="97"/>
      <c r="AC2" s="96"/>
      <c r="AD2" s="97"/>
      <c r="AE2" s="97"/>
      <c r="AF2" s="97"/>
      <c r="AG2" s="96"/>
      <c r="AH2" s="97"/>
      <c r="AI2" s="97"/>
      <c r="AJ2" s="97"/>
      <c r="AK2" s="96"/>
      <c r="AL2" s="97"/>
      <c r="AM2" s="97"/>
      <c r="AN2" s="97"/>
      <c r="AO2" s="96"/>
      <c r="AP2" s="97"/>
      <c r="AQ2" s="97"/>
      <c r="AR2" s="97"/>
      <c r="AS2" s="96"/>
      <c r="AT2" s="97"/>
      <c r="AU2" s="97"/>
      <c r="AV2" s="97"/>
      <c r="AW2" s="96"/>
      <c r="AX2" s="97"/>
      <c r="AY2" s="97"/>
      <c r="AZ2" s="97"/>
      <c r="BA2" s="96"/>
      <c r="BB2" s="97"/>
      <c r="BC2" s="97"/>
      <c r="BD2" s="97"/>
      <c r="BE2" s="96"/>
      <c r="BF2" s="97"/>
      <c r="BG2" s="97"/>
      <c r="BH2" s="97"/>
      <c r="BI2" s="96"/>
      <c r="BJ2" s="97"/>
      <c r="BK2" s="97"/>
      <c r="BL2" s="97"/>
      <c r="BM2" s="96"/>
      <c r="BN2" s="97"/>
      <c r="BO2" s="97"/>
      <c r="BP2" s="97"/>
      <c r="BQ2" s="96"/>
      <c r="BR2" s="97"/>
      <c r="BS2" s="97"/>
      <c r="BT2" s="97"/>
      <c r="BU2" s="96"/>
      <c r="BV2" s="97"/>
      <c r="BW2" s="97"/>
      <c r="BX2" s="97"/>
      <c r="BY2" s="96"/>
      <c r="BZ2" s="97"/>
      <c r="CA2" s="97"/>
      <c r="CB2" s="97"/>
      <c r="CC2" s="96"/>
      <c r="CD2" s="97"/>
      <c r="CE2" s="97"/>
      <c r="CF2" s="97"/>
      <c r="CG2" s="96"/>
      <c r="CH2" s="97"/>
      <c r="CI2" s="97"/>
      <c r="CJ2" s="97"/>
      <c r="CK2" s="96"/>
      <c r="CL2" s="97"/>
      <c r="CM2" s="97"/>
      <c r="CN2" s="97"/>
      <c r="CO2" s="96"/>
      <c r="CP2" s="97"/>
      <c r="CQ2" s="97"/>
      <c r="CR2" s="97"/>
      <c r="CS2" s="96"/>
      <c r="CT2" s="97"/>
      <c r="CU2" s="97"/>
      <c r="CV2" s="97"/>
      <c r="CW2" s="96"/>
      <c r="CX2" s="97"/>
      <c r="CY2" s="97"/>
      <c r="CZ2" s="97"/>
      <c r="DA2" s="96"/>
      <c r="DB2" s="97"/>
      <c r="DC2" s="97"/>
      <c r="DD2" s="97"/>
      <c r="DE2" s="96"/>
      <c r="DF2" s="97"/>
      <c r="DG2" s="97"/>
      <c r="DH2" s="97"/>
      <c r="DI2" s="96"/>
      <c r="DJ2" s="97"/>
      <c r="DK2" s="97"/>
      <c r="DL2" s="97"/>
      <c r="DM2" s="96"/>
      <c r="DN2" s="97"/>
      <c r="DO2" s="97"/>
      <c r="DP2" s="97"/>
      <c r="DQ2" s="96"/>
      <c r="DR2" s="97"/>
      <c r="DS2" s="97"/>
      <c r="DT2" s="97"/>
      <c r="DU2" s="96"/>
      <c r="DV2" s="97"/>
      <c r="DW2" s="97"/>
      <c r="DX2" s="97"/>
      <c r="DY2" s="96"/>
      <c r="DZ2" s="97"/>
      <c r="EA2" s="97"/>
      <c r="EB2" s="97"/>
      <c r="EC2" s="96"/>
      <c r="ED2" s="97"/>
      <c r="EE2" s="97"/>
      <c r="EF2" s="97"/>
      <c r="EG2" s="96"/>
      <c r="EH2" s="97"/>
      <c r="EI2" s="97"/>
      <c r="EJ2" s="97"/>
      <c r="EK2" s="96"/>
      <c r="EL2" s="97"/>
      <c r="EM2" s="97"/>
      <c r="EN2" s="97"/>
      <c r="EO2" s="96"/>
      <c r="EP2" s="97"/>
      <c r="EQ2" s="97"/>
      <c r="ER2" s="97"/>
      <c r="ES2" s="96"/>
      <c r="ET2" s="97"/>
      <c r="EU2" s="97"/>
      <c r="EV2" s="97"/>
      <c r="EW2" s="96"/>
      <c r="EX2" s="97"/>
      <c r="EY2" s="97"/>
      <c r="EZ2" s="97"/>
      <c r="FA2" s="96"/>
      <c r="FB2" s="97"/>
      <c r="FC2" s="97"/>
      <c r="FD2" s="97"/>
      <c r="FE2" s="96"/>
      <c r="FF2" s="97"/>
      <c r="FG2" s="97"/>
      <c r="FH2" s="97"/>
      <c r="FI2" s="96"/>
      <c r="FJ2" s="97"/>
      <c r="FK2" s="97"/>
      <c r="FL2" s="97"/>
      <c r="FM2" s="96"/>
      <c r="FN2" s="97"/>
      <c r="FO2" s="97"/>
      <c r="FP2" s="97"/>
      <c r="FQ2" s="96"/>
      <c r="FR2" s="97"/>
      <c r="FS2" s="97"/>
      <c r="FT2" s="97"/>
      <c r="FU2" s="96"/>
      <c r="FV2" s="97"/>
      <c r="FW2" s="97"/>
      <c r="FX2" s="97"/>
      <c r="FY2" s="96"/>
      <c r="FZ2" s="97"/>
      <c r="GA2" s="96"/>
      <c r="GB2" s="97"/>
      <c r="GC2" s="109"/>
    </row>
    <row r="3" spans="1:185" s="1" customFormat="1" ht="9.75" customHeight="1" thickBot="1" x14ac:dyDescent="0.25">
      <c r="A3" s="3">
        <v>353.3</v>
      </c>
      <c r="B3" s="103"/>
      <c r="C3" s="95"/>
      <c r="D3" s="92"/>
      <c r="E3" s="92"/>
      <c r="F3" s="91"/>
      <c r="G3" s="92"/>
      <c r="H3" s="92"/>
      <c r="I3" s="92"/>
      <c r="J3" s="91"/>
      <c r="K3" s="92"/>
      <c r="L3" s="92"/>
      <c r="M3" s="92"/>
      <c r="N3" s="91"/>
      <c r="O3" s="92"/>
      <c r="P3" s="92"/>
      <c r="Q3" s="92"/>
      <c r="R3" s="91"/>
      <c r="S3" s="92"/>
      <c r="T3" s="92"/>
      <c r="U3" s="92"/>
      <c r="V3" s="91"/>
      <c r="W3" s="92"/>
      <c r="X3" s="92"/>
      <c r="Y3" s="92"/>
      <c r="Z3" s="91"/>
      <c r="AA3" s="92"/>
      <c r="AB3" s="92"/>
      <c r="AC3" s="92"/>
      <c r="AD3" s="91"/>
      <c r="AE3" s="92"/>
      <c r="AF3" s="92"/>
      <c r="AG3" s="92"/>
      <c r="AH3" s="91"/>
      <c r="AI3" s="92"/>
      <c r="AJ3" s="92"/>
      <c r="AK3" s="92"/>
      <c r="AL3" s="91"/>
      <c r="AM3" s="92"/>
      <c r="AN3" s="92"/>
      <c r="AO3" s="92"/>
      <c r="AP3" s="91"/>
      <c r="AQ3" s="92"/>
      <c r="AR3" s="92"/>
      <c r="AS3" s="92"/>
      <c r="AT3" s="91"/>
      <c r="AU3" s="92"/>
      <c r="AV3" s="92"/>
      <c r="AW3" s="92"/>
      <c r="AX3" s="91"/>
      <c r="AY3" s="92"/>
      <c r="AZ3" s="92"/>
      <c r="BA3" s="92"/>
      <c r="BB3" s="91"/>
      <c r="BC3" s="92"/>
      <c r="BD3" s="92"/>
      <c r="BE3" s="92"/>
      <c r="BF3" s="91"/>
      <c r="BG3" s="92"/>
      <c r="BH3" s="92"/>
      <c r="BI3" s="92"/>
      <c r="BJ3" s="91"/>
      <c r="BK3" s="92"/>
      <c r="BL3" s="92"/>
      <c r="BM3" s="92"/>
      <c r="BN3" s="91"/>
      <c r="BO3" s="92"/>
      <c r="BP3" s="92"/>
      <c r="BQ3" s="92"/>
      <c r="BR3" s="91"/>
      <c r="BS3" s="92"/>
      <c r="BT3" s="92"/>
      <c r="BU3" s="92"/>
      <c r="BV3" s="91"/>
      <c r="BW3" s="92"/>
      <c r="BX3" s="92"/>
      <c r="BY3" s="92"/>
      <c r="BZ3" s="91"/>
      <c r="CA3" s="92"/>
      <c r="CB3" s="92"/>
      <c r="CC3" s="92"/>
      <c r="CD3" s="91"/>
      <c r="CE3" s="92"/>
      <c r="CF3" s="92"/>
      <c r="CG3" s="92"/>
      <c r="CH3" s="91"/>
      <c r="CI3" s="92"/>
      <c r="CJ3" s="92"/>
      <c r="CK3" s="92"/>
      <c r="CL3" s="91"/>
      <c r="CM3" s="92"/>
      <c r="CN3" s="92"/>
      <c r="CO3" s="92"/>
      <c r="CP3" s="91"/>
      <c r="CQ3" s="92"/>
      <c r="CR3" s="92"/>
      <c r="CS3" s="92"/>
      <c r="CT3" s="91"/>
      <c r="CU3" s="92"/>
      <c r="CV3" s="92"/>
      <c r="CW3" s="92"/>
      <c r="CX3" s="91"/>
      <c r="CY3" s="92"/>
      <c r="CZ3" s="92"/>
      <c r="DA3" s="92"/>
      <c r="DB3" s="91"/>
      <c r="DC3" s="92"/>
      <c r="DD3" s="92"/>
      <c r="DE3" s="92"/>
      <c r="DF3" s="91"/>
      <c r="DG3" s="92"/>
      <c r="DH3" s="92"/>
      <c r="DI3" s="92"/>
      <c r="DJ3" s="91"/>
      <c r="DK3" s="92"/>
      <c r="DL3" s="92"/>
      <c r="DM3" s="92"/>
      <c r="DN3" s="91"/>
      <c r="DO3" s="92"/>
      <c r="DP3" s="92"/>
      <c r="DQ3" s="92"/>
      <c r="DR3" s="91"/>
      <c r="DS3" s="92"/>
      <c r="DT3" s="92"/>
      <c r="DU3" s="92"/>
      <c r="DV3" s="91"/>
      <c r="DW3" s="92"/>
      <c r="DX3" s="92"/>
      <c r="DY3" s="92"/>
      <c r="DZ3" s="91"/>
      <c r="EA3" s="92"/>
      <c r="EB3" s="92"/>
      <c r="EC3" s="92"/>
      <c r="ED3" s="91"/>
      <c r="EE3" s="92"/>
      <c r="EF3" s="92"/>
      <c r="EG3" s="92"/>
      <c r="EH3" s="91"/>
      <c r="EI3" s="92"/>
      <c r="EJ3" s="92"/>
      <c r="EK3" s="92"/>
      <c r="EL3" s="91"/>
      <c r="EM3" s="92"/>
      <c r="EN3" s="92"/>
      <c r="EO3" s="92"/>
      <c r="EP3" s="91"/>
      <c r="EQ3" s="92"/>
      <c r="ER3" s="92"/>
      <c r="ES3" s="92"/>
      <c r="ET3" s="91"/>
      <c r="EU3" s="92"/>
      <c r="EV3" s="92"/>
      <c r="EW3" s="92"/>
      <c r="EX3" s="91"/>
      <c r="EY3" s="92"/>
      <c r="EZ3" s="92"/>
      <c r="FA3" s="92"/>
      <c r="FB3" s="91"/>
      <c r="FC3" s="92"/>
      <c r="FD3" s="92"/>
      <c r="FE3" s="92"/>
      <c r="FF3" s="91"/>
      <c r="FG3" s="92"/>
      <c r="FH3" s="92"/>
      <c r="FI3" s="92"/>
      <c r="FJ3" s="91"/>
      <c r="FK3" s="92"/>
      <c r="FL3" s="92"/>
      <c r="FM3" s="92"/>
      <c r="FN3" s="91"/>
      <c r="FO3" s="92"/>
      <c r="FP3" s="92"/>
      <c r="FQ3" s="92"/>
      <c r="FR3" s="91"/>
      <c r="FS3" s="92"/>
      <c r="FT3" s="92"/>
      <c r="FU3" s="92"/>
      <c r="FV3" s="91"/>
      <c r="FW3" s="92"/>
      <c r="FX3" s="92"/>
      <c r="FY3" s="92"/>
      <c r="FZ3" s="91"/>
      <c r="GA3" s="71"/>
      <c r="GB3" s="91"/>
      <c r="GC3" s="94"/>
    </row>
    <row r="4" spans="1:185" s="1" customFormat="1" ht="9.75" customHeight="1" thickBot="1" x14ac:dyDescent="0.25">
      <c r="A4" s="3">
        <v>346.7</v>
      </c>
      <c r="B4" s="107"/>
      <c r="C4" s="99"/>
      <c r="D4" s="101"/>
      <c r="E4" s="99"/>
      <c r="F4" s="99"/>
      <c r="G4" s="99"/>
      <c r="H4" s="99"/>
      <c r="I4" s="98"/>
      <c r="J4" s="99"/>
      <c r="K4" s="99"/>
      <c r="L4" s="99"/>
      <c r="M4" s="98"/>
      <c r="N4" s="99"/>
      <c r="O4" s="99"/>
      <c r="P4" s="99"/>
      <c r="Q4" s="98"/>
      <c r="R4" s="99"/>
      <c r="S4" s="99"/>
      <c r="T4" s="99"/>
      <c r="U4" s="98"/>
      <c r="V4" s="99"/>
      <c r="W4" s="99"/>
      <c r="X4" s="99"/>
      <c r="Y4" s="98"/>
      <c r="Z4" s="99"/>
      <c r="AA4" s="99"/>
      <c r="AB4" s="99"/>
      <c r="AC4" s="98"/>
      <c r="AD4" s="99"/>
      <c r="AE4" s="99"/>
      <c r="AF4" s="99"/>
      <c r="AG4" s="98"/>
      <c r="AH4" s="99"/>
      <c r="AI4" s="99"/>
      <c r="AJ4" s="99"/>
      <c r="AK4" s="98"/>
      <c r="AL4" s="99"/>
      <c r="AM4" s="99"/>
      <c r="AN4" s="99"/>
      <c r="AO4" s="98"/>
      <c r="AP4" s="99"/>
      <c r="AQ4" s="99"/>
      <c r="AR4" s="99"/>
      <c r="AS4" s="98"/>
      <c r="AT4" s="99"/>
      <c r="AU4" s="99"/>
      <c r="AV4" s="99"/>
      <c r="AW4" s="98"/>
      <c r="AX4" s="99"/>
      <c r="AY4" s="99"/>
      <c r="AZ4" s="99"/>
      <c r="BA4" s="98"/>
      <c r="BB4" s="99"/>
      <c r="BC4" s="99"/>
      <c r="BD4" s="99"/>
      <c r="BE4" s="98"/>
      <c r="BF4" s="99"/>
      <c r="BG4" s="99"/>
      <c r="BH4" s="99"/>
      <c r="BI4" s="98"/>
      <c r="BJ4" s="99"/>
      <c r="BK4" s="99"/>
      <c r="BL4" s="99"/>
      <c r="BM4" s="98"/>
      <c r="BN4" s="99"/>
      <c r="BO4" s="99"/>
      <c r="BP4" s="99"/>
      <c r="BQ4" s="98"/>
      <c r="BR4" s="99"/>
      <c r="BS4" s="99"/>
      <c r="BT4" s="99"/>
      <c r="BU4" s="98"/>
      <c r="BV4" s="99"/>
      <c r="BW4" s="99"/>
      <c r="BX4" s="99"/>
      <c r="BY4" s="98"/>
      <c r="BZ4" s="99"/>
      <c r="CA4" s="99"/>
      <c r="CB4" s="99"/>
      <c r="CC4" s="98"/>
      <c r="CD4" s="99"/>
      <c r="CE4" s="99"/>
      <c r="CF4" s="99"/>
      <c r="CG4" s="98"/>
      <c r="CH4" s="99"/>
      <c r="CI4" s="99"/>
      <c r="CJ4" s="99"/>
      <c r="CK4" s="98"/>
      <c r="CL4" s="99"/>
      <c r="CM4" s="99"/>
      <c r="CN4" s="99"/>
      <c r="CO4" s="98"/>
      <c r="CP4" s="99"/>
      <c r="CQ4" s="99"/>
      <c r="CR4" s="99"/>
      <c r="CS4" s="98"/>
      <c r="CT4" s="99"/>
      <c r="CU4" s="99"/>
      <c r="CV4" s="99"/>
      <c r="CW4" s="98"/>
      <c r="CX4" s="99"/>
      <c r="CY4" s="99"/>
      <c r="CZ4" s="99"/>
      <c r="DA4" s="98"/>
      <c r="DB4" s="99"/>
      <c r="DC4" s="99"/>
      <c r="DD4" s="99"/>
      <c r="DE4" s="98"/>
      <c r="DF4" s="99"/>
      <c r="DG4" s="99"/>
      <c r="DH4" s="99"/>
      <c r="DI4" s="98"/>
      <c r="DJ4" s="99"/>
      <c r="DK4" s="99"/>
      <c r="DL4" s="99"/>
      <c r="DM4" s="98"/>
      <c r="DN4" s="99"/>
      <c r="DO4" s="99"/>
      <c r="DP4" s="99"/>
      <c r="DQ4" s="98"/>
      <c r="DR4" s="99"/>
      <c r="DS4" s="99"/>
      <c r="DT4" s="99"/>
      <c r="DU4" s="98"/>
      <c r="DV4" s="99"/>
      <c r="DW4" s="99"/>
      <c r="DX4" s="99"/>
      <c r="DY4" s="98"/>
      <c r="DZ4" s="99"/>
      <c r="EA4" s="99"/>
      <c r="EB4" s="99"/>
      <c r="EC4" s="98"/>
      <c r="ED4" s="99"/>
      <c r="EE4" s="99"/>
      <c r="EF4" s="99"/>
      <c r="EG4" s="98"/>
      <c r="EH4" s="99"/>
      <c r="EI4" s="99"/>
      <c r="EJ4" s="99"/>
      <c r="EK4" s="98"/>
      <c r="EL4" s="99"/>
      <c r="EM4" s="99"/>
      <c r="EN4" s="99"/>
      <c r="EO4" s="98"/>
      <c r="EP4" s="99"/>
      <c r="EQ4" s="99"/>
      <c r="ER4" s="99"/>
      <c r="ES4" s="98"/>
      <c r="ET4" s="99"/>
      <c r="EU4" s="99"/>
      <c r="EV4" s="99"/>
      <c r="EW4" s="98"/>
      <c r="EX4" s="99"/>
      <c r="EY4" s="99"/>
      <c r="EZ4" s="99"/>
      <c r="FA4" s="98"/>
      <c r="FB4" s="99"/>
      <c r="FC4" s="99"/>
      <c r="FD4" s="99"/>
      <c r="FE4" s="98"/>
      <c r="FF4" s="99"/>
      <c r="FG4" s="99"/>
      <c r="FH4" s="99"/>
      <c r="FI4" s="98"/>
      <c r="FJ4" s="99"/>
      <c r="FK4" s="99"/>
      <c r="FL4" s="99"/>
      <c r="FM4" s="98"/>
      <c r="FN4" s="99"/>
      <c r="FO4" s="99"/>
      <c r="FP4" s="99"/>
      <c r="FQ4" s="98"/>
      <c r="FR4" s="99"/>
      <c r="FS4" s="99"/>
      <c r="FT4" s="99"/>
      <c r="FU4" s="98"/>
      <c r="FV4" s="99"/>
      <c r="FW4" s="99"/>
      <c r="FX4" s="99"/>
      <c r="FY4" s="98"/>
      <c r="FZ4" s="99"/>
      <c r="GA4" s="98"/>
      <c r="GB4" s="92"/>
      <c r="GC4" s="94"/>
    </row>
    <row r="5" spans="1:185" s="1" customFormat="1" ht="9.75" customHeight="1" thickBot="1" x14ac:dyDescent="0.25">
      <c r="A5" s="3">
        <v>340</v>
      </c>
      <c r="B5" s="103"/>
      <c r="C5" s="95"/>
      <c r="D5" s="71"/>
      <c r="E5" s="71"/>
      <c r="F5" s="71"/>
      <c r="G5" s="71"/>
      <c r="H5" s="91"/>
      <c r="I5" s="92"/>
      <c r="J5" s="92"/>
      <c r="K5" s="92"/>
      <c r="L5" s="91"/>
      <c r="M5" s="92"/>
      <c r="N5" s="92"/>
      <c r="O5" s="92"/>
      <c r="P5" s="91"/>
      <c r="Q5" s="92"/>
      <c r="R5" s="92"/>
      <c r="S5" s="92"/>
      <c r="T5" s="91"/>
      <c r="U5" s="92"/>
      <c r="V5" s="92"/>
      <c r="W5" s="92"/>
      <c r="X5" s="91"/>
      <c r="Y5" s="92"/>
      <c r="Z5" s="92"/>
      <c r="AA5" s="92"/>
      <c r="AB5" s="91"/>
      <c r="AC5" s="92"/>
      <c r="AD5" s="92"/>
      <c r="AE5" s="92"/>
      <c r="AF5" s="91"/>
      <c r="AG5" s="92"/>
      <c r="AH5" s="92"/>
      <c r="AI5" s="92"/>
      <c r="AJ5" s="91"/>
      <c r="AK5" s="92"/>
      <c r="AL5" s="92"/>
      <c r="AM5" s="92"/>
      <c r="AN5" s="91"/>
      <c r="AO5" s="92"/>
      <c r="AP5" s="92"/>
      <c r="AQ5" s="92"/>
      <c r="AR5" s="91"/>
      <c r="AS5" s="92"/>
      <c r="AT5" s="92"/>
      <c r="AU5" s="92"/>
      <c r="AV5" s="91"/>
      <c r="AW5" s="92"/>
      <c r="AX5" s="92"/>
      <c r="AY5" s="92"/>
      <c r="AZ5" s="91"/>
      <c r="BA5" s="92"/>
      <c r="BB5" s="92"/>
      <c r="BC5" s="92"/>
      <c r="BD5" s="91"/>
      <c r="BE5" s="92"/>
      <c r="BF5" s="92"/>
      <c r="BG5" s="92"/>
      <c r="BH5" s="91"/>
      <c r="BI5" s="92"/>
      <c r="BJ5" s="92"/>
      <c r="BK5" s="92"/>
      <c r="BL5" s="91"/>
      <c r="BM5" s="92"/>
      <c r="BN5" s="92"/>
      <c r="BO5" s="92"/>
      <c r="BP5" s="91"/>
      <c r="BQ5" s="92"/>
      <c r="BR5" s="92"/>
      <c r="BS5" s="92"/>
      <c r="BT5" s="91"/>
      <c r="BU5" s="92"/>
      <c r="BV5" s="92"/>
      <c r="BW5" s="92"/>
      <c r="BX5" s="91"/>
      <c r="BY5" s="92"/>
      <c r="BZ5" s="92"/>
      <c r="CA5" s="92"/>
      <c r="CB5" s="91"/>
      <c r="CC5" s="92"/>
      <c r="CD5" s="92"/>
      <c r="CE5" s="92"/>
      <c r="CF5" s="91"/>
      <c r="CG5" s="92"/>
      <c r="CH5" s="92"/>
      <c r="CI5" s="92"/>
      <c r="CJ5" s="91"/>
      <c r="CK5" s="92"/>
      <c r="CL5" s="92"/>
      <c r="CM5" s="92"/>
      <c r="CN5" s="91"/>
      <c r="CO5" s="92"/>
      <c r="CP5" s="92"/>
      <c r="CQ5" s="92"/>
      <c r="CR5" s="91"/>
      <c r="CS5" s="92"/>
      <c r="CT5" s="92"/>
      <c r="CU5" s="92"/>
      <c r="CV5" s="91"/>
      <c r="CW5" s="92"/>
      <c r="CX5" s="92"/>
      <c r="CY5" s="92"/>
      <c r="CZ5" s="91"/>
      <c r="DA5" s="92"/>
      <c r="DB5" s="92"/>
      <c r="DC5" s="92"/>
      <c r="DD5" s="91"/>
      <c r="DE5" s="92"/>
      <c r="DF5" s="92"/>
      <c r="DG5" s="92"/>
      <c r="DH5" s="91"/>
      <c r="DI5" s="92"/>
      <c r="DJ5" s="92"/>
      <c r="DK5" s="92"/>
      <c r="DL5" s="91"/>
      <c r="DM5" s="92"/>
      <c r="DN5" s="92"/>
      <c r="DO5" s="92"/>
      <c r="DP5" s="91"/>
      <c r="DQ5" s="92"/>
      <c r="DR5" s="92"/>
      <c r="DS5" s="92"/>
      <c r="DT5" s="91"/>
      <c r="DU5" s="92"/>
      <c r="DV5" s="92"/>
      <c r="DW5" s="92"/>
      <c r="DX5" s="91"/>
      <c r="DY5" s="92"/>
      <c r="DZ5" s="92"/>
      <c r="EA5" s="92"/>
      <c r="EB5" s="91"/>
      <c r="EC5" s="92"/>
      <c r="ED5" s="92"/>
      <c r="EE5" s="92"/>
      <c r="EF5" s="91"/>
      <c r="EG5" s="92"/>
      <c r="EH5" s="92"/>
      <c r="EI5" s="92"/>
      <c r="EJ5" s="91"/>
      <c r="EK5" s="92"/>
      <c r="EL5" s="92"/>
      <c r="EM5" s="92"/>
      <c r="EN5" s="91"/>
      <c r="EO5" s="92"/>
      <c r="EP5" s="92"/>
      <c r="EQ5" s="92"/>
      <c r="ER5" s="91"/>
      <c r="ES5" s="92"/>
      <c r="ET5" s="92"/>
      <c r="EU5" s="92"/>
      <c r="EV5" s="91"/>
      <c r="EW5" s="92"/>
      <c r="EX5" s="92"/>
      <c r="EY5" s="92"/>
      <c r="EZ5" s="91"/>
      <c r="FA5" s="92"/>
      <c r="FB5" s="92"/>
      <c r="FC5" s="92"/>
      <c r="FD5" s="91"/>
      <c r="FE5" s="92"/>
      <c r="FF5" s="92"/>
      <c r="FG5" s="92"/>
      <c r="FH5" s="91"/>
      <c r="FI5" s="92"/>
      <c r="FJ5" s="92"/>
      <c r="FK5" s="92"/>
      <c r="FL5" s="91"/>
      <c r="FM5" s="92"/>
      <c r="FN5" s="92"/>
      <c r="FO5" s="92"/>
      <c r="FP5" s="91"/>
      <c r="FQ5" s="92"/>
      <c r="FR5" s="92"/>
      <c r="FS5" s="92"/>
      <c r="FT5" s="91"/>
      <c r="FU5" s="92"/>
      <c r="FV5" s="92"/>
      <c r="FW5" s="92"/>
      <c r="FX5" s="91"/>
      <c r="FY5" s="92"/>
      <c r="FZ5" s="92"/>
      <c r="GA5" s="71"/>
      <c r="GB5" s="89"/>
      <c r="GC5" s="93"/>
    </row>
    <row r="6" spans="1:185" s="1" customFormat="1" ht="9.75" customHeight="1" thickBot="1" x14ac:dyDescent="0.25">
      <c r="A6" s="3">
        <v>333.3</v>
      </c>
      <c r="B6" s="103"/>
      <c r="C6" s="92"/>
      <c r="D6" s="101"/>
      <c r="E6" s="99"/>
      <c r="F6" s="99"/>
      <c r="G6" s="99"/>
      <c r="H6" s="92"/>
      <c r="I6" s="91"/>
      <c r="J6" s="92"/>
      <c r="K6" s="92"/>
      <c r="L6" s="92"/>
      <c r="M6" s="91"/>
      <c r="N6" s="92"/>
      <c r="O6" s="92"/>
      <c r="P6" s="92"/>
      <c r="Q6" s="91"/>
      <c r="R6" s="92"/>
      <c r="S6" s="92"/>
      <c r="T6" s="92"/>
      <c r="U6" s="91"/>
      <c r="V6" s="92"/>
      <c r="W6" s="92"/>
      <c r="X6" s="92"/>
      <c r="Y6" s="91"/>
      <c r="Z6" s="92"/>
      <c r="AA6" s="92"/>
      <c r="AB6" s="92"/>
      <c r="AC6" s="91"/>
      <c r="AD6" s="92"/>
      <c r="AE6" s="92"/>
      <c r="AF6" s="92"/>
      <c r="AG6" s="91"/>
      <c r="AH6" s="92"/>
      <c r="AI6" s="92"/>
      <c r="AJ6" s="92"/>
      <c r="AK6" s="91"/>
      <c r="AL6" s="92"/>
      <c r="AM6" s="92"/>
      <c r="AN6" s="92"/>
      <c r="AO6" s="91"/>
      <c r="AP6" s="92"/>
      <c r="AQ6" s="92"/>
      <c r="AR6" s="92"/>
      <c r="AS6" s="91"/>
      <c r="AT6" s="92"/>
      <c r="AU6" s="92"/>
      <c r="AV6" s="92"/>
      <c r="AW6" s="91"/>
      <c r="AX6" s="92"/>
      <c r="AY6" s="92"/>
      <c r="AZ6" s="92"/>
      <c r="BA6" s="91"/>
      <c r="BB6" s="92"/>
      <c r="BC6" s="92"/>
      <c r="BD6" s="92"/>
      <c r="BE6" s="91"/>
      <c r="BF6" s="92"/>
      <c r="BG6" s="92"/>
      <c r="BH6" s="92"/>
      <c r="BI6" s="91"/>
      <c r="BJ6" s="92"/>
      <c r="BK6" s="92"/>
      <c r="BL6" s="92"/>
      <c r="BM6" s="91"/>
      <c r="BN6" s="92"/>
      <c r="BO6" s="92"/>
      <c r="BP6" s="92"/>
      <c r="BQ6" s="91"/>
      <c r="BR6" s="92"/>
      <c r="BS6" s="92"/>
      <c r="BT6" s="92"/>
      <c r="BU6" s="91"/>
      <c r="BV6" s="92"/>
      <c r="BW6" s="92"/>
      <c r="BX6" s="92"/>
      <c r="BY6" s="91"/>
      <c r="BZ6" s="92"/>
      <c r="CA6" s="92"/>
      <c r="CB6" s="92"/>
      <c r="CC6" s="91"/>
      <c r="CD6" s="92"/>
      <c r="CE6" s="92"/>
      <c r="CF6" s="92"/>
      <c r="CG6" s="91"/>
      <c r="CH6" s="92"/>
      <c r="CI6" s="92"/>
      <c r="CJ6" s="92"/>
      <c r="CK6" s="91"/>
      <c r="CL6" s="92"/>
      <c r="CM6" s="92"/>
      <c r="CN6" s="92"/>
      <c r="CO6" s="91"/>
      <c r="CP6" s="92"/>
      <c r="CQ6" s="92"/>
      <c r="CR6" s="92"/>
      <c r="CS6" s="91"/>
      <c r="CT6" s="92"/>
      <c r="CU6" s="92"/>
      <c r="CV6" s="92"/>
      <c r="CW6" s="91"/>
      <c r="CX6" s="92"/>
      <c r="CY6" s="92"/>
      <c r="CZ6" s="92"/>
      <c r="DA6" s="91"/>
      <c r="DB6" s="92"/>
      <c r="DC6" s="92"/>
      <c r="DD6" s="92"/>
      <c r="DE6" s="91"/>
      <c r="DF6" s="92"/>
      <c r="DG6" s="92"/>
      <c r="DH6" s="92"/>
      <c r="DI6" s="91"/>
      <c r="DJ6" s="92"/>
      <c r="DK6" s="92"/>
      <c r="DL6" s="92"/>
      <c r="DM6" s="91"/>
      <c r="DN6" s="92"/>
      <c r="DO6" s="92"/>
      <c r="DP6" s="92"/>
      <c r="DQ6" s="91"/>
      <c r="DR6" s="92"/>
      <c r="DS6" s="92"/>
      <c r="DT6" s="92"/>
      <c r="DU6" s="91"/>
      <c r="DV6" s="92"/>
      <c r="DW6" s="92"/>
      <c r="DX6" s="92"/>
      <c r="DY6" s="91"/>
      <c r="DZ6" s="92"/>
      <c r="EA6" s="92"/>
      <c r="EB6" s="92"/>
      <c r="EC6" s="91"/>
      <c r="ED6" s="92"/>
      <c r="EE6" s="92"/>
      <c r="EF6" s="92"/>
      <c r="EG6" s="91"/>
      <c r="EH6" s="92"/>
      <c r="EI6" s="92"/>
      <c r="EJ6" s="92"/>
      <c r="EK6" s="91"/>
      <c r="EL6" s="92"/>
      <c r="EM6" s="92"/>
      <c r="EN6" s="92"/>
      <c r="EO6" s="91"/>
      <c r="EP6" s="92"/>
      <c r="EQ6" s="92"/>
      <c r="ER6" s="92"/>
      <c r="ES6" s="91"/>
      <c r="ET6" s="92"/>
      <c r="EU6" s="92"/>
      <c r="EV6" s="92"/>
      <c r="EW6" s="91"/>
      <c r="EX6" s="92"/>
      <c r="EY6" s="92"/>
      <c r="EZ6" s="92"/>
      <c r="FA6" s="91"/>
      <c r="FB6" s="92"/>
      <c r="FC6" s="92"/>
      <c r="FD6" s="92"/>
      <c r="FE6" s="91"/>
      <c r="FF6" s="92"/>
      <c r="FG6" s="92"/>
      <c r="FH6" s="92"/>
      <c r="FI6" s="91"/>
      <c r="FJ6" s="92"/>
      <c r="FK6" s="92"/>
      <c r="FL6" s="92"/>
      <c r="FM6" s="91"/>
      <c r="FN6" s="92"/>
      <c r="FO6" s="92"/>
      <c r="FP6" s="92"/>
      <c r="FQ6" s="91"/>
      <c r="FR6" s="92"/>
      <c r="FS6" s="92"/>
      <c r="FT6" s="92"/>
      <c r="FU6" s="91"/>
      <c r="FV6" s="92"/>
      <c r="FW6" s="92"/>
      <c r="FX6" s="92"/>
      <c r="FY6" s="91"/>
      <c r="FZ6" s="92"/>
      <c r="GA6" s="98"/>
      <c r="GB6" s="99"/>
      <c r="GC6" s="100"/>
    </row>
    <row r="7" spans="1:185" s="1" customFormat="1" ht="9.75" customHeight="1" thickBot="1" x14ac:dyDescent="0.25">
      <c r="A7" s="3">
        <v>326.7</v>
      </c>
      <c r="B7" s="103"/>
      <c r="C7" s="95"/>
      <c r="D7" s="92"/>
      <c r="E7" s="92"/>
      <c r="F7" s="91"/>
      <c r="G7" s="92"/>
      <c r="H7" s="92"/>
      <c r="I7" s="92"/>
      <c r="J7" s="91"/>
      <c r="K7" s="92"/>
      <c r="L7" s="92"/>
      <c r="M7" s="92"/>
      <c r="N7" s="91"/>
      <c r="O7" s="92"/>
      <c r="P7" s="92"/>
      <c r="Q7" s="92"/>
      <c r="R7" s="91"/>
      <c r="S7" s="92"/>
      <c r="T7" s="92"/>
      <c r="U7" s="92"/>
      <c r="V7" s="91"/>
      <c r="W7" s="92"/>
      <c r="X7" s="92"/>
      <c r="Y7" s="92"/>
      <c r="Z7" s="91"/>
      <c r="AA7" s="92"/>
      <c r="AB7" s="92"/>
      <c r="AC7" s="92"/>
      <c r="AD7" s="91"/>
      <c r="AE7" s="92"/>
      <c r="AF7" s="92"/>
      <c r="AG7" s="92"/>
      <c r="AH7" s="91"/>
      <c r="AI7" s="92"/>
      <c r="AJ7" s="92"/>
      <c r="AK7" s="92"/>
      <c r="AL7" s="91"/>
      <c r="AM7" s="92"/>
      <c r="AN7" s="92"/>
      <c r="AO7" s="92"/>
      <c r="AP7" s="91"/>
      <c r="AQ7" s="92"/>
      <c r="AR7" s="92"/>
      <c r="AS7" s="92"/>
      <c r="AT7" s="91"/>
      <c r="AU7" s="92"/>
      <c r="AV7" s="92"/>
      <c r="AW7" s="92"/>
      <c r="AX7" s="91"/>
      <c r="AY7" s="92"/>
      <c r="AZ7" s="92"/>
      <c r="BA7" s="92"/>
      <c r="BB7" s="91"/>
      <c r="BC7" s="92"/>
      <c r="BD7" s="92"/>
      <c r="BE7" s="92"/>
      <c r="BF7" s="91"/>
      <c r="BG7" s="92"/>
      <c r="BH7" s="92"/>
      <c r="BI7" s="92"/>
      <c r="BJ7" s="91"/>
      <c r="BK7" s="92"/>
      <c r="BL7" s="92"/>
      <c r="BM7" s="92"/>
      <c r="BN7" s="91"/>
      <c r="BO7" s="92"/>
      <c r="BP7" s="92"/>
      <c r="BQ7" s="92"/>
      <c r="BR7" s="91"/>
      <c r="BS7" s="92"/>
      <c r="BT7" s="92"/>
      <c r="BU7" s="92"/>
      <c r="BV7" s="91"/>
      <c r="BW7" s="92"/>
      <c r="BX7" s="92"/>
      <c r="BY7" s="92"/>
      <c r="BZ7" s="91"/>
      <c r="CA7" s="92"/>
      <c r="CB7" s="92"/>
      <c r="CC7" s="92"/>
      <c r="CD7" s="91"/>
      <c r="CE7" s="92"/>
      <c r="CF7" s="92"/>
      <c r="CG7" s="92"/>
      <c r="CH7" s="91"/>
      <c r="CI7" s="92"/>
      <c r="CJ7" s="92"/>
      <c r="CK7" s="92"/>
      <c r="CL7" s="91"/>
      <c r="CM7" s="92"/>
      <c r="CN7" s="92"/>
      <c r="CO7" s="92"/>
      <c r="CP7" s="91"/>
      <c r="CQ7" s="92"/>
      <c r="CR7" s="92"/>
      <c r="CS7" s="92"/>
      <c r="CT7" s="91"/>
      <c r="CU7" s="92"/>
      <c r="CV7" s="92"/>
      <c r="CW7" s="92"/>
      <c r="CX7" s="91"/>
      <c r="CY7" s="92"/>
      <c r="CZ7" s="92"/>
      <c r="DA7" s="92"/>
      <c r="DB7" s="91"/>
      <c r="DC7" s="92"/>
      <c r="DD7" s="92"/>
      <c r="DE7" s="92"/>
      <c r="DF7" s="91"/>
      <c r="DG7" s="92"/>
      <c r="DH7" s="92"/>
      <c r="DI7" s="92"/>
      <c r="DJ7" s="91"/>
      <c r="DK7" s="92"/>
      <c r="DL7" s="92"/>
      <c r="DM7" s="92"/>
      <c r="DN7" s="91"/>
      <c r="DO7" s="92"/>
      <c r="DP7" s="92"/>
      <c r="DQ7" s="92"/>
      <c r="DR7" s="91"/>
      <c r="DS7" s="92"/>
      <c r="DT7" s="92"/>
      <c r="DU7" s="92"/>
      <c r="DV7" s="91"/>
      <c r="DW7" s="92"/>
      <c r="DX7" s="92"/>
      <c r="DY7" s="92"/>
      <c r="DZ7" s="91"/>
      <c r="EA7" s="92"/>
      <c r="EB7" s="92"/>
      <c r="EC7" s="92"/>
      <c r="ED7" s="91"/>
      <c r="EE7" s="92"/>
      <c r="EF7" s="92"/>
      <c r="EG7" s="92"/>
      <c r="EH7" s="91"/>
      <c r="EI7" s="92"/>
      <c r="EJ7" s="92"/>
      <c r="EK7" s="92"/>
      <c r="EL7" s="91"/>
      <c r="EM7" s="92"/>
      <c r="EN7" s="92"/>
      <c r="EO7" s="92"/>
      <c r="EP7" s="91"/>
      <c r="EQ7" s="92"/>
      <c r="ER7" s="92"/>
      <c r="ES7" s="92"/>
      <c r="ET7" s="91"/>
      <c r="EU7" s="92"/>
      <c r="EV7" s="92"/>
      <c r="EW7" s="92"/>
      <c r="EX7" s="91"/>
      <c r="EY7" s="92"/>
      <c r="EZ7" s="92"/>
      <c r="FA7" s="92"/>
      <c r="FB7" s="91"/>
      <c r="FC7" s="92"/>
      <c r="FD7" s="92"/>
      <c r="FE7" s="92"/>
      <c r="FF7" s="91"/>
      <c r="FG7" s="92"/>
      <c r="FH7" s="92"/>
      <c r="FI7" s="92"/>
      <c r="FJ7" s="91"/>
      <c r="FK7" s="92"/>
      <c r="FL7" s="92"/>
      <c r="FM7" s="92"/>
      <c r="FN7" s="91"/>
      <c r="FO7" s="92"/>
      <c r="FP7" s="92"/>
      <c r="FQ7" s="92"/>
      <c r="FR7" s="91"/>
      <c r="FS7" s="92"/>
      <c r="FT7" s="92"/>
      <c r="FU7" s="92"/>
      <c r="FV7" s="91"/>
      <c r="FW7" s="92"/>
      <c r="FX7" s="92"/>
      <c r="FY7" s="92"/>
      <c r="FZ7" s="91"/>
      <c r="GA7" s="71"/>
      <c r="GB7" s="91"/>
      <c r="GC7" s="94"/>
    </row>
    <row r="8" spans="1:185" s="1" customFormat="1" ht="9.75" customHeight="1" thickBot="1" x14ac:dyDescent="0.25">
      <c r="A8" s="3">
        <v>320</v>
      </c>
      <c r="B8" s="107"/>
      <c r="C8" s="99"/>
      <c r="D8" s="101"/>
      <c r="E8" s="99"/>
      <c r="F8" s="99"/>
      <c r="G8" s="99"/>
      <c r="H8" s="99"/>
      <c r="I8" s="98"/>
      <c r="J8" s="99"/>
      <c r="K8" s="99"/>
      <c r="L8" s="99"/>
      <c r="M8" s="98"/>
      <c r="N8" s="99"/>
      <c r="O8" s="99"/>
      <c r="P8" s="99"/>
      <c r="Q8" s="98"/>
      <c r="R8" s="99"/>
      <c r="S8" s="99"/>
      <c r="T8" s="99"/>
      <c r="U8" s="98"/>
      <c r="V8" s="99"/>
      <c r="W8" s="99"/>
      <c r="X8" s="99"/>
      <c r="Y8" s="98"/>
      <c r="Z8" s="99"/>
      <c r="AA8" s="99"/>
      <c r="AB8" s="99"/>
      <c r="AC8" s="98"/>
      <c r="AD8" s="99"/>
      <c r="AE8" s="99"/>
      <c r="AF8" s="99"/>
      <c r="AG8" s="98"/>
      <c r="AH8" s="99"/>
      <c r="AI8" s="99"/>
      <c r="AJ8" s="99"/>
      <c r="AK8" s="98"/>
      <c r="AL8" s="99"/>
      <c r="AM8" s="99"/>
      <c r="AN8" s="99"/>
      <c r="AO8" s="98"/>
      <c r="AP8" s="99"/>
      <c r="AQ8" s="99"/>
      <c r="AR8" s="99"/>
      <c r="AS8" s="98"/>
      <c r="AT8" s="99"/>
      <c r="AU8" s="99"/>
      <c r="AV8" s="99"/>
      <c r="AW8" s="98"/>
      <c r="AX8" s="99"/>
      <c r="AY8" s="99"/>
      <c r="AZ8" s="99"/>
      <c r="BA8" s="98"/>
      <c r="BB8" s="99"/>
      <c r="BC8" s="99"/>
      <c r="BD8" s="99"/>
      <c r="BE8" s="98"/>
      <c r="BF8" s="99"/>
      <c r="BG8" s="99"/>
      <c r="BH8" s="99"/>
      <c r="BI8" s="98"/>
      <c r="BJ8" s="99"/>
      <c r="BK8" s="99"/>
      <c r="BL8" s="99"/>
      <c r="BM8" s="98"/>
      <c r="BN8" s="99"/>
      <c r="BO8" s="99"/>
      <c r="BP8" s="99"/>
      <c r="BQ8" s="98"/>
      <c r="BR8" s="99"/>
      <c r="BS8" s="99"/>
      <c r="BT8" s="99"/>
      <c r="BU8" s="98"/>
      <c r="BV8" s="99"/>
      <c r="BW8" s="99"/>
      <c r="BX8" s="99"/>
      <c r="BY8" s="98"/>
      <c r="BZ8" s="99"/>
      <c r="CA8" s="99"/>
      <c r="CB8" s="99"/>
      <c r="CC8" s="98"/>
      <c r="CD8" s="99"/>
      <c r="CE8" s="99"/>
      <c r="CF8" s="99"/>
      <c r="CG8" s="98"/>
      <c r="CH8" s="99"/>
      <c r="CI8" s="99"/>
      <c r="CJ8" s="99"/>
      <c r="CK8" s="98"/>
      <c r="CL8" s="99"/>
      <c r="CM8" s="99"/>
      <c r="CN8" s="99"/>
      <c r="CO8" s="98"/>
      <c r="CP8" s="99"/>
      <c r="CQ8" s="99"/>
      <c r="CR8" s="99"/>
      <c r="CS8" s="98"/>
      <c r="CT8" s="99"/>
      <c r="CU8" s="99"/>
      <c r="CV8" s="99"/>
      <c r="CW8" s="98"/>
      <c r="CX8" s="99"/>
      <c r="CY8" s="99"/>
      <c r="CZ8" s="99"/>
      <c r="DA8" s="98"/>
      <c r="DB8" s="99"/>
      <c r="DC8" s="99"/>
      <c r="DD8" s="99"/>
      <c r="DE8" s="98"/>
      <c r="DF8" s="99"/>
      <c r="DG8" s="99"/>
      <c r="DH8" s="99"/>
      <c r="DI8" s="98"/>
      <c r="DJ8" s="99"/>
      <c r="DK8" s="99"/>
      <c r="DL8" s="99"/>
      <c r="DM8" s="98"/>
      <c r="DN8" s="99"/>
      <c r="DO8" s="99"/>
      <c r="DP8" s="99"/>
      <c r="DQ8" s="98"/>
      <c r="DR8" s="99"/>
      <c r="DS8" s="99"/>
      <c r="DT8" s="99"/>
      <c r="DU8" s="98"/>
      <c r="DV8" s="99"/>
      <c r="DW8" s="99"/>
      <c r="DX8" s="99"/>
      <c r="DY8" s="98"/>
      <c r="DZ8" s="99"/>
      <c r="EA8" s="99"/>
      <c r="EB8" s="99"/>
      <c r="EC8" s="98"/>
      <c r="ED8" s="99"/>
      <c r="EE8" s="99"/>
      <c r="EF8" s="99"/>
      <c r="EG8" s="98"/>
      <c r="EH8" s="99"/>
      <c r="EI8" s="99"/>
      <c r="EJ8" s="99"/>
      <c r="EK8" s="98"/>
      <c r="EL8" s="99"/>
      <c r="EM8" s="99"/>
      <c r="EN8" s="99"/>
      <c r="EO8" s="98"/>
      <c r="EP8" s="99"/>
      <c r="EQ8" s="99"/>
      <c r="ER8" s="99"/>
      <c r="ES8" s="98"/>
      <c r="ET8" s="99"/>
      <c r="EU8" s="99"/>
      <c r="EV8" s="99"/>
      <c r="EW8" s="98"/>
      <c r="EX8" s="99"/>
      <c r="EY8" s="99"/>
      <c r="EZ8" s="99"/>
      <c r="FA8" s="98"/>
      <c r="FB8" s="99"/>
      <c r="FC8" s="99"/>
      <c r="FD8" s="99"/>
      <c r="FE8" s="98"/>
      <c r="FF8" s="99"/>
      <c r="FG8" s="99"/>
      <c r="FH8" s="99"/>
      <c r="FI8" s="98"/>
      <c r="FJ8" s="99"/>
      <c r="FK8" s="99"/>
      <c r="FL8" s="99"/>
      <c r="FM8" s="98"/>
      <c r="FN8" s="99"/>
      <c r="FO8" s="99"/>
      <c r="FP8" s="99"/>
      <c r="FQ8" s="98"/>
      <c r="FR8" s="99"/>
      <c r="FS8" s="99"/>
      <c r="FT8" s="99"/>
      <c r="FU8" s="98"/>
      <c r="FV8" s="99"/>
      <c r="FW8" s="99"/>
      <c r="FX8" s="99"/>
      <c r="FY8" s="98"/>
      <c r="FZ8" s="99"/>
      <c r="GA8" s="98"/>
      <c r="GB8" s="92"/>
      <c r="GC8" s="94"/>
    </row>
    <row r="9" spans="1:185" s="1" customFormat="1" ht="9.75" customHeight="1" thickBot="1" x14ac:dyDescent="0.25">
      <c r="A9" s="3">
        <v>313.3</v>
      </c>
      <c r="B9" s="103"/>
      <c r="C9" s="95"/>
      <c r="D9" s="71"/>
      <c r="E9" s="71"/>
      <c r="F9" s="71"/>
      <c r="G9" s="71"/>
      <c r="H9" s="91"/>
      <c r="I9" s="92"/>
      <c r="J9" s="92"/>
      <c r="K9" s="92"/>
      <c r="L9" s="91"/>
      <c r="M9" s="92"/>
      <c r="N9" s="92"/>
      <c r="O9" s="92"/>
      <c r="P9" s="91"/>
      <c r="Q9" s="92"/>
      <c r="R9" s="92"/>
      <c r="S9" s="92"/>
      <c r="T9" s="91"/>
      <c r="U9" s="92"/>
      <c r="V9" s="92"/>
      <c r="W9" s="92"/>
      <c r="X9" s="91"/>
      <c r="Y9" s="92"/>
      <c r="Z9" s="92"/>
      <c r="AA9" s="92"/>
      <c r="AB9" s="91"/>
      <c r="AC9" s="92"/>
      <c r="AD9" s="92"/>
      <c r="AE9" s="92"/>
      <c r="AF9" s="91"/>
      <c r="AG9" s="92"/>
      <c r="AH9" s="92"/>
      <c r="AI9" s="92"/>
      <c r="AJ9" s="91"/>
      <c r="AK9" s="92"/>
      <c r="AL9" s="92"/>
      <c r="AM9" s="92"/>
      <c r="AN9" s="91"/>
      <c r="AO9" s="92"/>
      <c r="AP9" s="92"/>
      <c r="AQ9" s="92"/>
      <c r="AR9" s="91"/>
      <c r="AS9" s="92"/>
      <c r="AT9" s="92"/>
      <c r="AU9" s="92"/>
      <c r="AV9" s="91"/>
      <c r="AW9" s="92"/>
      <c r="AX9" s="92"/>
      <c r="AY9" s="92"/>
      <c r="AZ9" s="91"/>
      <c r="BA9" s="92"/>
      <c r="BB9" s="92"/>
      <c r="BC9" s="92"/>
      <c r="BD9" s="91"/>
      <c r="BE9" s="92"/>
      <c r="BF9" s="92"/>
      <c r="BG9" s="92"/>
      <c r="BH9" s="91"/>
      <c r="BI9" s="92"/>
      <c r="BJ9" s="92"/>
      <c r="BK9" s="92"/>
      <c r="BL9" s="91"/>
      <c r="BM9" s="92"/>
      <c r="BN9" s="92"/>
      <c r="BO9" s="92"/>
      <c r="BP9" s="91"/>
      <c r="BQ9" s="92"/>
      <c r="BR9" s="92"/>
      <c r="BS9" s="92"/>
      <c r="BT9" s="91"/>
      <c r="BU9" s="92"/>
      <c r="BV9" s="92"/>
      <c r="BW9" s="92"/>
      <c r="BX9" s="91"/>
      <c r="BY9" s="92"/>
      <c r="BZ9" s="92"/>
      <c r="CA9" s="92"/>
      <c r="CB9" s="91"/>
      <c r="CC9" s="92"/>
      <c r="CD9" s="92"/>
      <c r="CE9" s="92"/>
      <c r="CF9" s="91"/>
      <c r="CG9" s="92"/>
      <c r="CH9" s="92"/>
      <c r="CI9" s="92"/>
      <c r="CJ9" s="91"/>
      <c r="CK9" s="92"/>
      <c r="CL9" s="92"/>
      <c r="CM9" s="92"/>
      <c r="CN9" s="91"/>
      <c r="CO9" s="92"/>
      <c r="CP9" s="92"/>
      <c r="CQ9" s="92"/>
      <c r="CR9" s="91"/>
      <c r="CS9" s="92"/>
      <c r="CT9" s="92"/>
      <c r="CU9" s="92"/>
      <c r="CV9" s="91"/>
      <c r="CW9" s="92"/>
      <c r="CX9" s="92"/>
      <c r="CY9" s="92"/>
      <c r="CZ9" s="91"/>
      <c r="DA9" s="92"/>
      <c r="DB9" s="92"/>
      <c r="DC9" s="92"/>
      <c r="DD9" s="91"/>
      <c r="DE9" s="92"/>
      <c r="DF9" s="92"/>
      <c r="DG9" s="92"/>
      <c r="DH9" s="91"/>
      <c r="DI9" s="92"/>
      <c r="DJ9" s="92"/>
      <c r="DK9" s="92"/>
      <c r="DL9" s="91"/>
      <c r="DM9" s="92"/>
      <c r="DN9" s="92"/>
      <c r="DO9" s="92"/>
      <c r="DP9" s="91"/>
      <c r="DQ9" s="92"/>
      <c r="DR9" s="92"/>
      <c r="DS9" s="92"/>
      <c r="DT9" s="91"/>
      <c r="DU9" s="92"/>
      <c r="DV9" s="92"/>
      <c r="DW9" s="92"/>
      <c r="DX9" s="91"/>
      <c r="DY9" s="92"/>
      <c r="DZ9" s="92"/>
      <c r="EA9" s="92"/>
      <c r="EB9" s="91"/>
      <c r="EC9" s="92"/>
      <c r="ED9" s="92"/>
      <c r="EE9" s="92"/>
      <c r="EF9" s="91"/>
      <c r="EG9" s="92"/>
      <c r="EH9" s="92"/>
      <c r="EI9" s="92"/>
      <c r="EJ9" s="91"/>
      <c r="EK9" s="92"/>
      <c r="EL9" s="92"/>
      <c r="EM9" s="92"/>
      <c r="EN9" s="91"/>
      <c r="EO9" s="92"/>
      <c r="EP9" s="92"/>
      <c r="EQ9" s="92"/>
      <c r="ER9" s="91"/>
      <c r="ES9" s="92"/>
      <c r="ET9" s="92"/>
      <c r="EU9" s="92"/>
      <c r="EV9" s="91"/>
      <c r="EW9" s="92"/>
      <c r="EX9" s="92"/>
      <c r="EY9" s="92"/>
      <c r="EZ9" s="91"/>
      <c r="FA9" s="92"/>
      <c r="FB9" s="92"/>
      <c r="FC9" s="92"/>
      <c r="FD9" s="91"/>
      <c r="FE9" s="92"/>
      <c r="FF9" s="92"/>
      <c r="FG9" s="92"/>
      <c r="FH9" s="91"/>
      <c r="FI9" s="92"/>
      <c r="FJ9" s="92"/>
      <c r="FK9" s="92"/>
      <c r="FL9" s="91"/>
      <c r="FM9" s="92"/>
      <c r="FN9" s="92"/>
      <c r="FO9" s="92"/>
      <c r="FP9" s="91"/>
      <c r="FQ9" s="92"/>
      <c r="FR9" s="92"/>
      <c r="FS9" s="92"/>
      <c r="FT9" s="91"/>
      <c r="FU9" s="92"/>
      <c r="FV9" s="92"/>
      <c r="FW9" s="92"/>
      <c r="FX9" s="91"/>
      <c r="FY9" s="92"/>
      <c r="FZ9" s="92"/>
      <c r="GA9" s="71"/>
      <c r="GB9" s="89"/>
      <c r="GC9" s="93"/>
    </row>
    <row r="10" spans="1:185" s="1" customFormat="1" ht="9.75" customHeight="1" thickBot="1" x14ac:dyDescent="0.25">
      <c r="A10" s="3">
        <v>306.7</v>
      </c>
      <c r="B10" s="103"/>
      <c r="C10" s="92"/>
      <c r="D10" s="101"/>
      <c r="E10" s="99"/>
      <c r="F10" s="99"/>
      <c r="G10" s="99"/>
      <c r="H10" s="92"/>
      <c r="I10" s="91"/>
      <c r="J10" s="92"/>
      <c r="K10" s="92"/>
      <c r="L10" s="92"/>
      <c r="M10" s="91"/>
      <c r="N10" s="92"/>
      <c r="O10" s="92"/>
      <c r="P10" s="92"/>
      <c r="Q10" s="91"/>
      <c r="R10" s="92"/>
      <c r="S10" s="92"/>
      <c r="T10" s="92"/>
      <c r="U10" s="91"/>
      <c r="V10" s="92"/>
      <c r="W10" s="92"/>
      <c r="X10" s="92"/>
      <c r="Y10" s="91"/>
      <c r="Z10" s="92"/>
      <c r="AA10" s="92"/>
      <c r="AB10" s="92"/>
      <c r="AC10" s="91"/>
      <c r="AD10" s="92"/>
      <c r="AE10" s="92"/>
      <c r="AF10" s="92"/>
      <c r="AG10" s="91"/>
      <c r="AH10" s="92"/>
      <c r="AI10" s="92"/>
      <c r="AJ10" s="92"/>
      <c r="AK10" s="91"/>
      <c r="AL10" s="92"/>
      <c r="AM10" s="92"/>
      <c r="AN10" s="92"/>
      <c r="AO10" s="91"/>
      <c r="AP10" s="92"/>
      <c r="AQ10" s="92"/>
      <c r="AR10" s="92"/>
      <c r="AS10" s="91"/>
      <c r="AT10" s="92"/>
      <c r="AU10" s="92"/>
      <c r="AV10" s="92"/>
      <c r="AW10" s="91"/>
      <c r="AX10" s="92"/>
      <c r="AY10" s="92"/>
      <c r="AZ10" s="92"/>
      <c r="BA10" s="91"/>
      <c r="BB10" s="92"/>
      <c r="BC10" s="92"/>
      <c r="BD10" s="92"/>
      <c r="BE10" s="91"/>
      <c r="BF10" s="92"/>
      <c r="BG10" s="92"/>
      <c r="BH10" s="92"/>
      <c r="BI10" s="91"/>
      <c r="BJ10" s="92"/>
      <c r="BK10" s="92"/>
      <c r="BL10" s="92"/>
      <c r="BM10" s="91"/>
      <c r="BN10" s="92"/>
      <c r="BO10" s="92"/>
      <c r="BP10" s="92"/>
      <c r="BQ10" s="91"/>
      <c r="BR10" s="92"/>
      <c r="BS10" s="92"/>
      <c r="BT10" s="92"/>
      <c r="BU10" s="91"/>
      <c r="BV10" s="92"/>
      <c r="BW10" s="92"/>
      <c r="BX10" s="92"/>
      <c r="BY10" s="91"/>
      <c r="BZ10" s="92"/>
      <c r="CA10" s="92"/>
      <c r="CB10" s="92"/>
      <c r="CC10" s="91"/>
      <c r="CD10" s="92"/>
      <c r="CE10" s="92"/>
      <c r="CF10" s="92"/>
      <c r="CG10" s="91"/>
      <c r="CH10" s="92"/>
      <c r="CI10" s="92"/>
      <c r="CJ10" s="92"/>
      <c r="CK10" s="91"/>
      <c r="CL10" s="92"/>
      <c r="CM10" s="92"/>
      <c r="CN10" s="92"/>
      <c r="CO10" s="91"/>
      <c r="CP10" s="92"/>
      <c r="CQ10" s="92"/>
      <c r="CR10" s="92"/>
      <c r="CS10" s="91"/>
      <c r="CT10" s="92"/>
      <c r="CU10" s="92"/>
      <c r="CV10" s="92"/>
      <c r="CW10" s="91"/>
      <c r="CX10" s="92"/>
      <c r="CY10" s="92"/>
      <c r="CZ10" s="92"/>
      <c r="DA10" s="91"/>
      <c r="DB10" s="92"/>
      <c r="DC10" s="92"/>
      <c r="DD10" s="92"/>
      <c r="DE10" s="91"/>
      <c r="DF10" s="92"/>
      <c r="DG10" s="92"/>
      <c r="DH10" s="92"/>
      <c r="DI10" s="91"/>
      <c r="DJ10" s="92"/>
      <c r="DK10" s="92"/>
      <c r="DL10" s="92"/>
      <c r="DM10" s="91"/>
      <c r="DN10" s="92"/>
      <c r="DO10" s="92"/>
      <c r="DP10" s="92"/>
      <c r="DQ10" s="91"/>
      <c r="DR10" s="92"/>
      <c r="DS10" s="92"/>
      <c r="DT10" s="92"/>
      <c r="DU10" s="91"/>
      <c r="DV10" s="92"/>
      <c r="DW10" s="92"/>
      <c r="DX10" s="92"/>
      <c r="DY10" s="91"/>
      <c r="DZ10" s="92"/>
      <c r="EA10" s="92"/>
      <c r="EB10" s="92"/>
      <c r="EC10" s="91"/>
      <c r="ED10" s="92"/>
      <c r="EE10" s="92"/>
      <c r="EF10" s="92"/>
      <c r="EG10" s="91"/>
      <c r="EH10" s="92"/>
      <c r="EI10" s="92"/>
      <c r="EJ10" s="92"/>
      <c r="EK10" s="91"/>
      <c r="EL10" s="92"/>
      <c r="EM10" s="92"/>
      <c r="EN10" s="92"/>
      <c r="EO10" s="91"/>
      <c r="EP10" s="92"/>
      <c r="EQ10" s="92"/>
      <c r="ER10" s="92"/>
      <c r="ES10" s="91"/>
      <c r="ET10" s="92"/>
      <c r="EU10" s="92"/>
      <c r="EV10" s="92"/>
      <c r="EW10" s="91"/>
      <c r="EX10" s="92"/>
      <c r="EY10" s="92"/>
      <c r="EZ10" s="92"/>
      <c r="FA10" s="91"/>
      <c r="FB10" s="92"/>
      <c r="FC10" s="92"/>
      <c r="FD10" s="92"/>
      <c r="FE10" s="91"/>
      <c r="FF10" s="92"/>
      <c r="FG10" s="92"/>
      <c r="FH10" s="92"/>
      <c r="FI10" s="91"/>
      <c r="FJ10" s="92"/>
      <c r="FK10" s="92"/>
      <c r="FL10" s="92"/>
      <c r="FM10" s="91"/>
      <c r="FN10" s="92"/>
      <c r="FO10" s="92"/>
      <c r="FP10" s="92"/>
      <c r="FQ10" s="91"/>
      <c r="FR10" s="92"/>
      <c r="FS10" s="92"/>
      <c r="FT10" s="92"/>
      <c r="FU10" s="91"/>
      <c r="FV10" s="92"/>
      <c r="FW10" s="92"/>
      <c r="FX10" s="92"/>
      <c r="FY10" s="91"/>
      <c r="FZ10" s="92"/>
      <c r="GA10" s="98"/>
      <c r="GB10" s="99"/>
      <c r="GC10" s="100"/>
    </row>
    <row r="11" spans="1:185" s="1" customFormat="1" ht="9.75" customHeight="1" thickBot="1" x14ac:dyDescent="0.25">
      <c r="A11" s="3">
        <v>300</v>
      </c>
      <c r="B11" s="103"/>
      <c r="C11" s="95"/>
      <c r="D11" s="92"/>
      <c r="E11" s="92"/>
      <c r="F11" s="91"/>
      <c r="G11" s="92"/>
      <c r="H11" s="92"/>
      <c r="I11" s="92"/>
      <c r="J11" s="91"/>
      <c r="K11" s="92"/>
      <c r="L11" s="92"/>
      <c r="M11" s="92"/>
      <c r="N11" s="91"/>
      <c r="O11" s="92"/>
      <c r="P11" s="92"/>
      <c r="Q11" s="92"/>
      <c r="R11" s="91"/>
      <c r="S11" s="92"/>
      <c r="T11" s="92"/>
      <c r="U11" s="92"/>
      <c r="V11" s="91"/>
      <c r="W11" s="92"/>
      <c r="X11" s="92"/>
      <c r="Y11" s="92"/>
      <c r="Z11" s="91"/>
      <c r="AA11" s="92"/>
      <c r="AB11" s="92"/>
      <c r="AC11" s="92"/>
      <c r="AD11" s="91"/>
      <c r="AE11" s="92"/>
      <c r="AF11" s="92"/>
      <c r="AG11" s="92"/>
      <c r="AH11" s="91"/>
      <c r="AI11" s="92"/>
      <c r="AJ11" s="92"/>
      <c r="AK11" s="92"/>
      <c r="AL11" s="91"/>
      <c r="AM11" s="92"/>
      <c r="AN11" s="92"/>
      <c r="AO11" s="92"/>
      <c r="AP11" s="91"/>
      <c r="AQ11" s="92"/>
      <c r="AR11" s="92"/>
      <c r="AS11" s="92"/>
      <c r="AT11" s="91"/>
      <c r="AU11" s="92"/>
      <c r="AV11" s="92"/>
      <c r="AW11" s="92"/>
      <c r="AX11" s="91"/>
      <c r="AY11" s="92"/>
      <c r="AZ11" s="92"/>
      <c r="BA11" s="92"/>
      <c r="BB11" s="91"/>
      <c r="BC11" s="92"/>
      <c r="BD11" s="92"/>
      <c r="BE11" s="92"/>
      <c r="BF11" s="91"/>
      <c r="BG11" s="92"/>
      <c r="BH11" s="92"/>
      <c r="BI11" s="92"/>
      <c r="BJ11" s="91"/>
      <c r="BK11" s="92"/>
      <c r="BL11" s="92"/>
      <c r="BM11" s="92"/>
      <c r="BN11" s="91"/>
      <c r="BO11" s="92"/>
      <c r="BP11" s="92"/>
      <c r="BQ11" s="92"/>
      <c r="BR11" s="91"/>
      <c r="BS11" s="92"/>
      <c r="BT11" s="92"/>
      <c r="BU11" s="92"/>
      <c r="BV11" s="91"/>
      <c r="BW11" s="92"/>
      <c r="BX11" s="92"/>
      <c r="BY11" s="92"/>
      <c r="BZ11" s="91"/>
      <c r="CA11" s="92"/>
      <c r="CB11" s="92"/>
      <c r="CC11" s="92"/>
      <c r="CD11" s="91"/>
      <c r="CE11" s="92"/>
      <c r="CF11" s="92"/>
      <c r="CG11" s="92"/>
      <c r="CH11" s="91"/>
      <c r="CI11" s="92"/>
      <c r="CJ11" s="92"/>
      <c r="CK11" s="92"/>
      <c r="CL11" s="91"/>
      <c r="CM11" s="92"/>
      <c r="CN11" s="92"/>
      <c r="CO11" s="92"/>
      <c r="CP11" s="91"/>
      <c r="CQ11" s="92"/>
      <c r="CR11" s="92"/>
      <c r="CS11" s="92"/>
      <c r="CT11" s="91"/>
      <c r="CU11" s="92"/>
      <c r="CV11" s="92"/>
      <c r="CW11" s="92"/>
      <c r="CX11" s="91"/>
      <c r="CY11" s="92"/>
      <c r="CZ11" s="92"/>
      <c r="DA11" s="92"/>
      <c r="DB11" s="91"/>
      <c r="DC11" s="92"/>
      <c r="DD11" s="92"/>
      <c r="DE11" s="92"/>
      <c r="DF11" s="91"/>
      <c r="DG11" s="92"/>
      <c r="DH11" s="92"/>
      <c r="DI11" s="92"/>
      <c r="DJ11" s="91"/>
      <c r="DK11" s="92"/>
      <c r="DL11" s="92"/>
      <c r="DM11" s="92"/>
      <c r="DN11" s="91"/>
      <c r="DO11" s="92"/>
      <c r="DP11" s="92"/>
      <c r="DQ11" s="92"/>
      <c r="DR11" s="91"/>
      <c r="DS11" s="92"/>
      <c r="DT11" s="92"/>
      <c r="DU11" s="92"/>
      <c r="DV11" s="91"/>
      <c r="DW11" s="92"/>
      <c r="DX11" s="92"/>
      <c r="DY11" s="92"/>
      <c r="DZ11" s="91"/>
      <c r="EA11" s="92"/>
      <c r="EB11" s="92"/>
      <c r="EC11" s="92"/>
      <c r="ED11" s="91"/>
      <c r="EE11" s="92"/>
      <c r="EF11" s="92"/>
      <c r="EG11" s="92"/>
      <c r="EH11" s="91"/>
      <c r="EI11" s="92"/>
      <c r="EJ11" s="92"/>
      <c r="EK11" s="92"/>
      <c r="EL11" s="91"/>
      <c r="EM11" s="92"/>
      <c r="EN11" s="92"/>
      <c r="EO11" s="92"/>
      <c r="EP11" s="91"/>
      <c r="EQ11" s="92"/>
      <c r="ER11" s="92"/>
      <c r="ES11" s="92"/>
      <c r="ET11" s="91"/>
      <c r="EU11" s="92"/>
      <c r="EV11" s="92"/>
      <c r="EW11" s="92"/>
      <c r="EX11" s="91"/>
      <c r="EY11" s="92"/>
      <c r="EZ11" s="92"/>
      <c r="FA11" s="92"/>
      <c r="FB11" s="91"/>
      <c r="FC11" s="92"/>
      <c r="FD11" s="92"/>
      <c r="FE11" s="92"/>
      <c r="FF11" s="91"/>
      <c r="FG11" s="92"/>
      <c r="FH11" s="92"/>
      <c r="FI11" s="92"/>
      <c r="FJ11" s="91"/>
      <c r="FK11" s="92"/>
      <c r="FL11" s="92"/>
      <c r="FM11" s="92"/>
      <c r="FN11" s="91"/>
      <c r="FO11" s="92"/>
      <c r="FP11" s="92"/>
      <c r="FQ11" s="92"/>
      <c r="FR11" s="91"/>
      <c r="FS11" s="92"/>
      <c r="FT11" s="92"/>
      <c r="FU11" s="92"/>
      <c r="FV11" s="91"/>
      <c r="FW11" s="92"/>
      <c r="FX11" s="92"/>
      <c r="FY11" s="92"/>
      <c r="FZ11" s="91"/>
      <c r="GA11" s="71"/>
      <c r="GB11" s="91"/>
      <c r="GC11" s="94"/>
    </row>
    <row r="12" spans="1:185" s="1" customFormat="1" ht="9.75" customHeight="1" thickBot="1" x14ac:dyDescent="0.25">
      <c r="A12" s="3">
        <v>293.3</v>
      </c>
      <c r="B12" s="107"/>
      <c r="C12" s="99"/>
      <c r="D12" s="101"/>
      <c r="E12" s="99"/>
      <c r="F12" s="99"/>
      <c r="G12" s="99"/>
      <c r="H12" s="99"/>
      <c r="I12" s="98"/>
      <c r="J12" s="99"/>
      <c r="K12" s="99"/>
      <c r="L12" s="99"/>
      <c r="M12" s="98"/>
      <c r="N12" s="99"/>
      <c r="O12" s="99"/>
      <c r="P12" s="99"/>
      <c r="Q12" s="98"/>
      <c r="R12" s="99"/>
      <c r="S12" s="99"/>
      <c r="T12" s="99"/>
      <c r="U12" s="98"/>
      <c r="V12" s="99"/>
      <c r="W12" s="99"/>
      <c r="X12" s="99"/>
      <c r="Y12" s="98"/>
      <c r="Z12" s="99"/>
      <c r="AA12" s="99"/>
      <c r="AB12" s="99"/>
      <c r="AC12" s="98"/>
      <c r="AD12" s="99"/>
      <c r="AE12" s="99"/>
      <c r="AF12" s="99"/>
      <c r="AG12" s="98"/>
      <c r="AH12" s="99"/>
      <c r="AI12" s="99"/>
      <c r="AJ12" s="99"/>
      <c r="AK12" s="98"/>
      <c r="AL12" s="99"/>
      <c r="AM12" s="99"/>
      <c r="AN12" s="99"/>
      <c r="AO12" s="98"/>
      <c r="AP12" s="99"/>
      <c r="AQ12" s="99"/>
      <c r="AR12" s="99"/>
      <c r="AS12" s="98"/>
      <c r="AT12" s="99"/>
      <c r="AU12" s="99"/>
      <c r="AV12" s="99"/>
      <c r="AW12" s="98"/>
      <c r="AX12" s="99"/>
      <c r="AY12" s="99"/>
      <c r="AZ12" s="99"/>
      <c r="BA12" s="98"/>
      <c r="BB12" s="99"/>
      <c r="BC12" s="99"/>
      <c r="BD12" s="99"/>
      <c r="BE12" s="98"/>
      <c r="BF12" s="99"/>
      <c r="BG12" s="99"/>
      <c r="BH12" s="99"/>
      <c r="BI12" s="98"/>
      <c r="BJ12" s="99"/>
      <c r="BK12" s="99"/>
      <c r="BL12" s="99"/>
      <c r="BM12" s="98"/>
      <c r="BN12" s="99"/>
      <c r="BO12" s="99"/>
      <c r="BP12" s="99"/>
      <c r="BQ12" s="98"/>
      <c r="BR12" s="99"/>
      <c r="BS12" s="99"/>
      <c r="BT12" s="99"/>
      <c r="BU12" s="98"/>
      <c r="BV12" s="99"/>
      <c r="BW12" s="99"/>
      <c r="BX12" s="99"/>
      <c r="BY12" s="98"/>
      <c r="BZ12" s="99"/>
      <c r="CA12" s="99"/>
      <c r="CB12" s="99"/>
      <c r="CC12" s="98"/>
      <c r="CD12" s="99"/>
      <c r="CE12" s="99"/>
      <c r="CF12" s="99"/>
      <c r="CG12" s="98"/>
      <c r="CH12" s="99"/>
      <c r="CI12" s="99"/>
      <c r="CJ12" s="99"/>
      <c r="CK12" s="98"/>
      <c r="CL12" s="99"/>
      <c r="CM12" s="99"/>
      <c r="CN12" s="99"/>
      <c r="CO12" s="98"/>
      <c r="CP12" s="99"/>
      <c r="CQ12" s="99"/>
      <c r="CR12" s="99"/>
      <c r="CS12" s="98"/>
      <c r="CT12" s="99"/>
      <c r="CU12" s="99"/>
      <c r="CV12" s="99"/>
      <c r="CW12" s="98"/>
      <c r="CX12" s="99"/>
      <c r="CY12" s="99"/>
      <c r="CZ12" s="99"/>
      <c r="DA12" s="98"/>
      <c r="DB12" s="99"/>
      <c r="DC12" s="99"/>
      <c r="DD12" s="99"/>
      <c r="DE12" s="98"/>
      <c r="DF12" s="99"/>
      <c r="DG12" s="99"/>
      <c r="DH12" s="99"/>
      <c r="DI12" s="98"/>
      <c r="DJ12" s="99"/>
      <c r="DK12" s="99"/>
      <c r="DL12" s="99"/>
      <c r="DM12" s="98"/>
      <c r="DN12" s="99"/>
      <c r="DO12" s="99"/>
      <c r="DP12" s="99"/>
      <c r="DQ12" s="98"/>
      <c r="DR12" s="99"/>
      <c r="DS12" s="99"/>
      <c r="DT12" s="99"/>
      <c r="DU12" s="98"/>
      <c r="DV12" s="99"/>
      <c r="DW12" s="99"/>
      <c r="DX12" s="99"/>
      <c r="DY12" s="98"/>
      <c r="DZ12" s="99"/>
      <c r="EA12" s="99"/>
      <c r="EB12" s="99"/>
      <c r="EC12" s="98"/>
      <c r="ED12" s="99"/>
      <c r="EE12" s="99"/>
      <c r="EF12" s="99"/>
      <c r="EG12" s="98"/>
      <c r="EH12" s="99"/>
      <c r="EI12" s="99"/>
      <c r="EJ12" s="99"/>
      <c r="EK12" s="98"/>
      <c r="EL12" s="99"/>
      <c r="EM12" s="99"/>
      <c r="EN12" s="99"/>
      <c r="EO12" s="98"/>
      <c r="EP12" s="99"/>
      <c r="EQ12" s="99"/>
      <c r="ER12" s="99"/>
      <c r="ES12" s="98"/>
      <c r="ET12" s="99"/>
      <c r="EU12" s="99"/>
      <c r="EV12" s="99"/>
      <c r="EW12" s="98"/>
      <c r="EX12" s="99"/>
      <c r="EY12" s="99"/>
      <c r="EZ12" s="99"/>
      <c r="FA12" s="98"/>
      <c r="FB12" s="99"/>
      <c r="FC12" s="99"/>
      <c r="FD12" s="99"/>
      <c r="FE12" s="98"/>
      <c r="FF12" s="99"/>
      <c r="FG12" s="99"/>
      <c r="FH12" s="99"/>
      <c r="FI12" s="98"/>
      <c r="FJ12" s="99"/>
      <c r="FK12" s="99"/>
      <c r="FL12" s="99"/>
      <c r="FM12" s="98"/>
      <c r="FN12" s="99"/>
      <c r="FO12" s="99"/>
      <c r="FP12" s="99"/>
      <c r="FQ12" s="98"/>
      <c r="FR12" s="99"/>
      <c r="FS12" s="99"/>
      <c r="FT12" s="99"/>
      <c r="FU12" s="98"/>
      <c r="FV12" s="99"/>
      <c r="FW12" s="99"/>
      <c r="FX12" s="99"/>
      <c r="FY12" s="98"/>
      <c r="FZ12" s="99"/>
      <c r="GA12" s="98"/>
      <c r="GB12" s="92"/>
      <c r="GC12" s="94"/>
    </row>
    <row r="13" spans="1:185" s="1" customFormat="1" ht="9.75" customHeight="1" thickBot="1" x14ac:dyDescent="0.25">
      <c r="A13" s="3">
        <v>286.7</v>
      </c>
      <c r="B13" s="103"/>
      <c r="C13" s="95"/>
      <c r="D13" s="71"/>
      <c r="E13" s="71"/>
      <c r="F13" s="71"/>
      <c r="G13" s="71"/>
      <c r="H13" s="91"/>
      <c r="I13" s="92"/>
      <c r="J13" s="92"/>
      <c r="K13" s="92"/>
      <c r="L13" s="91"/>
      <c r="M13" s="92"/>
      <c r="N13" s="92"/>
      <c r="O13" s="92"/>
      <c r="P13" s="91"/>
      <c r="Q13" s="92"/>
      <c r="R13" s="92"/>
      <c r="S13" s="92"/>
      <c r="T13" s="91"/>
      <c r="U13" s="92"/>
      <c r="V13" s="92"/>
      <c r="W13" s="92"/>
      <c r="X13" s="91"/>
      <c r="Y13" s="92"/>
      <c r="Z13" s="92"/>
      <c r="AA13" s="92"/>
      <c r="AB13" s="91"/>
      <c r="AC13" s="92"/>
      <c r="AD13" s="92"/>
      <c r="AE13" s="92"/>
      <c r="AF13" s="91"/>
      <c r="AG13" s="92"/>
      <c r="AH13" s="92"/>
      <c r="AI13" s="92"/>
      <c r="AJ13" s="91"/>
      <c r="AK13" s="92"/>
      <c r="AL13" s="92"/>
      <c r="AM13" s="92"/>
      <c r="AN13" s="91"/>
      <c r="AO13" s="92"/>
      <c r="AP13" s="92"/>
      <c r="AQ13" s="92"/>
      <c r="AR13" s="91"/>
      <c r="AS13" s="92"/>
      <c r="AT13" s="92"/>
      <c r="AU13" s="92"/>
      <c r="AV13" s="91"/>
      <c r="AW13" s="92"/>
      <c r="AX13" s="92"/>
      <c r="AY13" s="92"/>
      <c r="AZ13" s="91"/>
      <c r="BA13" s="92"/>
      <c r="BB13" s="92"/>
      <c r="BC13" s="92"/>
      <c r="BD13" s="91"/>
      <c r="BE13" s="92"/>
      <c r="BF13" s="92"/>
      <c r="BG13" s="92"/>
      <c r="BH13" s="91"/>
      <c r="BI13" s="92"/>
      <c r="BJ13" s="92"/>
      <c r="BK13" s="92"/>
      <c r="BL13" s="91"/>
      <c r="BM13" s="92"/>
      <c r="BN13" s="92"/>
      <c r="BO13" s="92"/>
      <c r="BP13" s="91"/>
      <c r="BQ13" s="92"/>
      <c r="BR13" s="92"/>
      <c r="BS13" s="92"/>
      <c r="BT13" s="91"/>
      <c r="BU13" s="92"/>
      <c r="BV13" s="92"/>
      <c r="BW13" s="92"/>
      <c r="BX13" s="91"/>
      <c r="BY13" s="92"/>
      <c r="BZ13" s="92"/>
      <c r="CA13" s="92"/>
      <c r="CB13" s="91"/>
      <c r="CC13" s="92"/>
      <c r="CD13" s="92"/>
      <c r="CE13" s="92"/>
      <c r="CF13" s="91"/>
      <c r="CG13" s="92"/>
      <c r="CH13" s="92"/>
      <c r="CI13" s="92"/>
      <c r="CJ13" s="91"/>
      <c r="CK13" s="92"/>
      <c r="CL13" s="92"/>
      <c r="CM13" s="92"/>
      <c r="CN13" s="91"/>
      <c r="CO13" s="92"/>
      <c r="CP13" s="92"/>
      <c r="CQ13" s="92"/>
      <c r="CR13" s="91"/>
      <c r="CS13" s="92"/>
      <c r="CT13" s="92"/>
      <c r="CU13" s="92"/>
      <c r="CV13" s="91"/>
      <c r="CW13" s="92"/>
      <c r="CX13" s="92"/>
      <c r="CY13" s="92"/>
      <c r="CZ13" s="91"/>
      <c r="DA13" s="92"/>
      <c r="DB13" s="92"/>
      <c r="DC13" s="92"/>
      <c r="DD13" s="91"/>
      <c r="DE13" s="92"/>
      <c r="DF13" s="92"/>
      <c r="DG13" s="92"/>
      <c r="DH13" s="91"/>
      <c r="DI13" s="92"/>
      <c r="DJ13" s="92"/>
      <c r="DK13" s="92"/>
      <c r="DL13" s="91"/>
      <c r="DM13" s="92"/>
      <c r="DN13" s="92"/>
      <c r="DO13" s="92"/>
      <c r="DP13" s="91"/>
      <c r="DQ13" s="92"/>
      <c r="DR13" s="92"/>
      <c r="DS13" s="92"/>
      <c r="DT13" s="91"/>
      <c r="DU13" s="92"/>
      <c r="DV13" s="92"/>
      <c r="DW13" s="92"/>
      <c r="DX13" s="91"/>
      <c r="DY13" s="92"/>
      <c r="DZ13" s="92"/>
      <c r="EA13" s="92"/>
      <c r="EB13" s="91"/>
      <c r="EC13" s="92"/>
      <c r="ED13" s="92"/>
      <c r="EE13" s="92"/>
      <c r="EF13" s="91"/>
      <c r="EG13" s="92"/>
      <c r="EH13" s="92"/>
      <c r="EI13" s="92"/>
      <c r="EJ13" s="91"/>
      <c r="EK13" s="92"/>
      <c r="EL13" s="92"/>
      <c r="EM13" s="92"/>
      <c r="EN13" s="91"/>
      <c r="EO13" s="92"/>
      <c r="EP13" s="92"/>
      <c r="EQ13" s="92"/>
      <c r="ER13" s="91"/>
      <c r="ES13" s="92"/>
      <c r="ET13" s="92"/>
      <c r="EU13" s="92"/>
      <c r="EV13" s="91"/>
      <c r="EW13" s="92"/>
      <c r="EX13" s="92"/>
      <c r="EY13" s="92"/>
      <c r="EZ13" s="91"/>
      <c r="FA13" s="92"/>
      <c r="FB13" s="92"/>
      <c r="FC13" s="92"/>
      <c r="FD13" s="91"/>
      <c r="FE13" s="92"/>
      <c r="FF13" s="92"/>
      <c r="FG13" s="92"/>
      <c r="FH13" s="91"/>
      <c r="FI13" s="92"/>
      <c r="FJ13" s="92"/>
      <c r="FK13" s="92"/>
      <c r="FL13" s="91"/>
      <c r="FM13" s="92"/>
      <c r="FN13" s="92"/>
      <c r="FO13" s="92"/>
      <c r="FP13" s="91"/>
      <c r="FQ13" s="92"/>
      <c r="FR13" s="92"/>
      <c r="FS13" s="92"/>
      <c r="FT13" s="91"/>
      <c r="FU13" s="92"/>
      <c r="FV13" s="92"/>
      <c r="FW13" s="92"/>
      <c r="FX13" s="91"/>
      <c r="FY13" s="92"/>
      <c r="FZ13" s="92"/>
      <c r="GA13" s="71"/>
      <c r="GB13" s="89"/>
      <c r="GC13" s="93"/>
    </row>
    <row r="14" spans="1:185" s="1" customFormat="1" ht="9.75" customHeight="1" thickBot="1" x14ac:dyDescent="0.25">
      <c r="A14" s="3">
        <v>280</v>
      </c>
      <c r="B14" s="103"/>
      <c r="C14" s="92"/>
      <c r="D14" s="101"/>
      <c r="E14" s="99"/>
      <c r="F14" s="99"/>
      <c r="G14" s="99"/>
      <c r="H14" s="92"/>
      <c r="I14" s="91"/>
      <c r="J14" s="92"/>
      <c r="K14" s="92"/>
      <c r="L14" s="92"/>
      <c r="M14" s="91"/>
      <c r="N14" s="92"/>
      <c r="O14" s="92"/>
      <c r="P14" s="92"/>
      <c r="Q14" s="91"/>
      <c r="R14" s="92"/>
      <c r="S14" s="92"/>
      <c r="T14" s="92"/>
      <c r="U14" s="91"/>
      <c r="V14" s="92"/>
      <c r="W14" s="92"/>
      <c r="X14" s="92"/>
      <c r="Y14" s="91"/>
      <c r="Z14" s="92"/>
      <c r="AA14" s="92"/>
      <c r="AB14" s="92"/>
      <c r="AC14" s="91"/>
      <c r="AD14" s="92"/>
      <c r="AE14" s="92"/>
      <c r="AF14" s="92"/>
      <c r="AG14" s="91"/>
      <c r="AH14" s="92"/>
      <c r="AI14" s="92"/>
      <c r="AJ14" s="92"/>
      <c r="AK14" s="91"/>
      <c r="AL14" s="92"/>
      <c r="AM14" s="92"/>
      <c r="AN14" s="92"/>
      <c r="AO14" s="91"/>
      <c r="AP14" s="92"/>
      <c r="AQ14" s="92"/>
      <c r="AR14" s="92"/>
      <c r="AS14" s="91"/>
      <c r="AT14" s="92"/>
      <c r="AU14" s="92"/>
      <c r="AV14" s="92"/>
      <c r="AW14" s="91"/>
      <c r="AX14" s="92"/>
      <c r="AY14" s="92"/>
      <c r="AZ14" s="92"/>
      <c r="BA14" s="91"/>
      <c r="BB14" s="92"/>
      <c r="BC14" s="92"/>
      <c r="BD14" s="92"/>
      <c r="BE14" s="91"/>
      <c r="BF14" s="92"/>
      <c r="BG14" s="92"/>
      <c r="BH14" s="92"/>
      <c r="BI14" s="91"/>
      <c r="BJ14" s="92"/>
      <c r="BK14" s="92"/>
      <c r="BL14" s="92"/>
      <c r="BM14" s="91"/>
      <c r="BN14" s="92"/>
      <c r="BO14" s="92"/>
      <c r="BP14" s="92"/>
      <c r="BQ14" s="91"/>
      <c r="BR14" s="92"/>
      <c r="BS14" s="92"/>
      <c r="BT14" s="92"/>
      <c r="BU14" s="91"/>
      <c r="BV14" s="92"/>
      <c r="BW14" s="92"/>
      <c r="BX14" s="92"/>
      <c r="BY14" s="91"/>
      <c r="BZ14" s="92"/>
      <c r="CA14" s="92"/>
      <c r="CB14" s="92"/>
      <c r="CC14" s="91"/>
      <c r="CD14" s="92"/>
      <c r="CE14" s="92"/>
      <c r="CF14" s="92"/>
      <c r="CG14" s="91"/>
      <c r="CH14" s="92"/>
      <c r="CI14" s="92"/>
      <c r="CJ14" s="92"/>
      <c r="CK14" s="91"/>
      <c r="CL14" s="92"/>
      <c r="CM14" s="92"/>
      <c r="CN14" s="92"/>
      <c r="CO14" s="91"/>
      <c r="CP14" s="92"/>
      <c r="CQ14" s="92"/>
      <c r="CR14" s="92"/>
      <c r="CS14" s="91"/>
      <c r="CT14" s="92"/>
      <c r="CU14" s="92"/>
      <c r="CV14" s="92"/>
      <c r="CW14" s="91"/>
      <c r="CX14" s="92"/>
      <c r="CY14" s="92"/>
      <c r="CZ14" s="92"/>
      <c r="DA14" s="91"/>
      <c r="DB14" s="92"/>
      <c r="DC14" s="92"/>
      <c r="DD14" s="92"/>
      <c r="DE14" s="91"/>
      <c r="DF14" s="92"/>
      <c r="DG14" s="92"/>
      <c r="DH14" s="92"/>
      <c r="DI14" s="91"/>
      <c r="DJ14" s="92"/>
      <c r="DK14" s="92"/>
      <c r="DL14" s="92"/>
      <c r="DM14" s="91"/>
      <c r="DN14" s="92"/>
      <c r="DO14" s="92"/>
      <c r="DP14" s="92"/>
      <c r="DQ14" s="91"/>
      <c r="DR14" s="92"/>
      <c r="DS14" s="92"/>
      <c r="DT14" s="92"/>
      <c r="DU14" s="91"/>
      <c r="DV14" s="92"/>
      <c r="DW14" s="92"/>
      <c r="DX14" s="92"/>
      <c r="DY14" s="91"/>
      <c r="DZ14" s="92"/>
      <c r="EA14" s="92"/>
      <c r="EB14" s="92"/>
      <c r="EC14" s="91"/>
      <c r="ED14" s="92"/>
      <c r="EE14" s="92"/>
      <c r="EF14" s="92"/>
      <c r="EG14" s="91"/>
      <c r="EH14" s="92"/>
      <c r="EI14" s="92"/>
      <c r="EJ14" s="92"/>
      <c r="EK14" s="91"/>
      <c r="EL14" s="92"/>
      <c r="EM14" s="92"/>
      <c r="EN14" s="92"/>
      <c r="EO14" s="91"/>
      <c r="EP14" s="92"/>
      <c r="EQ14" s="92"/>
      <c r="ER14" s="92"/>
      <c r="ES14" s="91"/>
      <c r="ET14" s="92"/>
      <c r="EU14" s="92"/>
      <c r="EV14" s="92"/>
      <c r="EW14" s="91"/>
      <c r="EX14" s="92"/>
      <c r="EY14" s="92"/>
      <c r="EZ14" s="92"/>
      <c r="FA14" s="91"/>
      <c r="FB14" s="92"/>
      <c r="FC14" s="92"/>
      <c r="FD14" s="92"/>
      <c r="FE14" s="91"/>
      <c r="FF14" s="92"/>
      <c r="FG14" s="92"/>
      <c r="FH14" s="92"/>
      <c r="FI14" s="91"/>
      <c r="FJ14" s="92"/>
      <c r="FK14" s="92"/>
      <c r="FL14" s="92"/>
      <c r="FM14" s="91"/>
      <c r="FN14" s="92"/>
      <c r="FO14" s="92"/>
      <c r="FP14" s="92"/>
      <c r="FQ14" s="91"/>
      <c r="FR14" s="92"/>
      <c r="FS14" s="92"/>
      <c r="FT14" s="92"/>
      <c r="FU14" s="91"/>
      <c r="FV14" s="92"/>
      <c r="FW14" s="92"/>
      <c r="FX14" s="92"/>
      <c r="FY14" s="91"/>
      <c r="FZ14" s="92"/>
      <c r="GA14" s="98"/>
      <c r="GB14" s="99"/>
      <c r="GC14" s="100"/>
    </row>
    <row r="15" spans="1:185" s="1" customFormat="1" ht="9.75" customHeight="1" thickBot="1" x14ac:dyDescent="0.25">
      <c r="A15" s="3">
        <v>273.3</v>
      </c>
      <c r="B15" s="103"/>
      <c r="C15" s="95"/>
      <c r="D15" s="92"/>
      <c r="E15" s="92"/>
      <c r="F15" s="91"/>
      <c r="G15" s="92"/>
      <c r="H15" s="92"/>
      <c r="I15" s="92"/>
      <c r="J15" s="91"/>
      <c r="K15" s="92"/>
      <c r="L15" s="92"/>
      <c r="M15" s="92"/>
      <c r="N15" s="91"/>
      <c r="O15" s="92"/>
      <c r="P15" s="92"/>
      <c r="Q15" s="92"/>
      <c r="R15" s="91"/>
      <c r="S15" s="92"/>
      <c r="T15" s="92"/>
      <c r="U15" s="92"/>
      <c r="V15" s="91"/>
      <c r="W15" s="92"/>
      <c r="X15" s="92"/>
      <c r="Y15" s="92"/>
      <c r="Z15" s="91"/>
      <c r="AA15" s="92"/>
      <c r="AB15" s="92"/>
      <c r="AC15" s="92"/>
      <c r="AD15" s="91"/>
      <c r="AE15" s="92"/>
      <c r="AF15" s="92"/>
      <c r="AG15" s="92"/>
      <c r="AH15" s="91"/>
      <c r="AI15" s="92"/>
      <c r="AJ15" s="92"/>
      <c r="AK15" s="92"/>
      <c r="AL15" s="91"/>
      <c r="AM15" s="92"/>
      <c r="AN15" s="92"/>
      <c r="AO15" s="92"/>
      <c r="AP15" s="91"/>
      <c r="AQ15" s="92"/>
      <c r="AR15" s="92"/>
      <c r="AS15" s="92"/>
      <c r="AT15" s="91"/>
      <c r="AU15" s="92"/>
      <c r="AV15" s="92"/>
      <c r="AW15" s="92"/>
      <c r="AX15" s="91"/>
      <c r="AY15" s="92"/>
      <c r="AZ15" s="92"/>
      <c r="BA15" s="92"/>
      <c r="BB15" s="91"/>
      <c r="BC15" s="92"/>
      <c r="BD15" s="92"/>
      <c r="BE15" s="92"/>
      <c r="BF15" s="91"/>
      <c r="BG15" s="92"/>
      <c r="BH15" s="92"/>
      <c r="BI15" s="92"/>
      <c r="BJ15" s="91"/>
      <c r="BK15" s="92"/>
      <c r="BL15" s="92"/>
      <c r="BM15" s="92"/>
      <c r="BN15" s="91"/>
      <c r="BO15" s="92"/>
      <c r="BP15" s="92"/>
      <c r="BQ15" s="92"/>
      <c r="BR15" s="91"/>
      <c r="BS15" s="92"/>
      <c r="BT15" s="92"/>
      <c r="BU15" s="92"/>
      <c r="BV15" s="91"/>
      <c r="BW15" s="92"/>
      <c r="BX15" s="92"/>
      <c r="BY15" s="92"/>
      <c r="BZ15" s="91"/>
      <c r="CA15" s="92"/>
      <c r="CB15" s="92"/>
      <c r="CC15" s="92"/>
      <c r="CD15" s="91"/>
      <c r="CE15" s="92"/>
      <c r="CF15" s="92"/>
      <c r="CG15" s="92"/>
      <c r="CH15" s="91"/>
      <c r="CI15" s="92"/>
      <c r="CJ15" s="92"/>
      <c r="CK15" s="92"/>
      <c r="CL15" s="91"/>
      <c r="CM15" s="92"/>
      <c r="CN15" s="92"/>
      <c r="CO15" s="92"/>
      <c r="CP15" s="91"/>
      <c r="CQ15" s="92"/>
      <c r="CR15" s="92"/>
      <c r="CS15" s="92"/>
      <c r="CT15" s="91"/>
      <c r="CU15" s="92"/>
      <c r="CV15" s="92"/>
      <c r="CW15" s="92"/>
      <c r="CX15" s="91"/>
      <c r="CY15" s="92"/>
      <c r="CZ15" s="92"/>
      <c r="DA15" s="92"/>
      <c r="DB15" s="91"/>
      <c r="DC15" s="92"/>
      <c r="DD15" s="92"/>
      <c r="DE15" s="92"/>
      <c r="DF15" s="91"/>
      <c r="DG15" s="92"/>
      <c r="DH15" s="92"/>
      <c r="DI15" s="92"/>
      <c r="DJ15" s="91"/>
      <c r="DK15" s="92"/>
      <c r="DL15" s="92"/>
      <c r="DM15" s="92"/>
      <c r="DN15" s="91"/>
      <c r="DO15" s="92"/>
      <c r="DP15" s="92"/>
      <c r="DQ15" s="92"/>
      <c r="DR15" s="91"/>
      <c r="DS15" s="92"/>
      <c r="DT15" s="92"/>
      <c r="DU15" s="92"/>
      <c r="DV15" s="91"/>
      <c r="DW15" s="92"/>
      <c r="DX15" s="92"/>
      <c r="DY15" s="92"/>
      <c r="DZ15" s="91"/>
      <c r="EA15" s="92"/>
      <c r="EB15" s="92"/>
      <c r="EC15" s="92"/>
      <c r="ED15" s="91"/>
      <c r="EE15" s="92"/>
      <c r="EF15" s="92"/>
      <c r="EG15" s="92"/>
      <c r="EH15" s="91"/>
      <c r="EI15" s="92"/>
      <c r="EJ15" s="92"/>
      <c r="EK15" s="92"/>
      <c r="EL15" s="91"/>
      <c r="EM15" s="92"/>
      <c r="EN15" s="92"/>
      <c r="EO15" s="92"/>
      <c r="EP15" s="91"/>
      <c r="EQ15" s="92"/>
      <c r="ER15" s="92"/>
      <c r="ES15" s="92"/>
      <c r="ET15" s="91"/>
      <c r="EU15" s="92"/>
      <c r="EV15" s="92"/>
      <c r="EW15" s="92"/>
      <c r="EX15" s="91"/>
      <c r="EY15" s="92"/>
      <c r="EZ15" s="92"/>
      <c r="FA15" s="92"/>
      <c r="FB15" s="91"/>
      <c r="FC15" s="92"/>
      <c r="FD15" s="92"/>
      <c r="FE15" s="92"/>
      <c r="FF15" s="91"/>
      <c r="FG15" s="92"/>
      <c r="FH15" s="92"/>
      <c r="FI15" s="92"/>
      <c r="FJ15" s="91"/>
      <c r="FK15" s="92"/>
      <c r="FL15" s="92"/>
      <c r="FM15" s="92"/>
      <c r="FN15" s="91"/>
      <c r="FO15" s="92"/>
      <c r="FP15" s="92"/>
      <c r="FQ15" s="92"/>
      <c r="FR15" s="91"/>
      <c r="FS15" s="92"/>
      <c r="FT15" s="92"/>
      <c r="FU15" s="92"/>
      <c r="FV15" s="91"/>
      <c r="FW15" s="92"/>
      <c r="FX15" s="92"/>
      <c r="FY15" s="92"/>
      <c r="FZ15" s="91"/>
      <c r="GA15" s="71"/>
      <c r="GB15" s="91"/>
      <c r="GC15" s="94"/>
    </row>
    <row r="16" spans="1:185" s="1" customFormat="1" ht="9.75" customHeight="1" thickBot="1" x14ac:dyDescent="0.25">
      <c r="A16" s="3">
        <v>266.7</v>
      </c>
      <c r="B16" s="107"/>
      <c r="C16" s="99"/>
      <c r="D16" s="101"/>
      <c r="E16" s="99"/>
      <c r="F16" s="99"/>
      <c r="G16" s="99"/>
      <c r="H16" s="99"/>
      <c r="I16" s="98"/>
      <c r="J16" s="99"/>
      <c r="K16" s="99"/>
      <c r="L16" s="99"/>
      <c r="M16" s="98"/>
      <c r="N16" s="99"/>
      <c r="O16" s="99"/>
      <c r="P16" s="99"/>
      <c r="Q16" s="98"/>
      <c r="R16" s="99"/>
      <c r="S16" s="99"/>
      <c r="T16" s="99"/>
      <c r="U16" s="98"/>
      <c r="V16" s="99"/>
      <c r="W16" s="99"/>
      <c r="X16" s="99"/>
      <c r="Y16" s="98"/>
      <c r="Z16" s="99"/>
      <c r="AA16" s="99"/>
      <c r="AB16" s="99"/>
      <c r="AC16" s="98"/>
      <c r="AD16" s="99"/>
      <c r="AE16" s="99"/>
      <c r="AF16" s="99"/>
      <c r="AG16" s="98"/>
      <c r="AH16" s="99"/>
      <c r="AI16" s="99"/>
      <c r="AJ16" s="99"/>
      <c r="AK16" s="98"/>
      <c r="AL16" s="99"/>
      <c r="AM16" s="99"/>
      <c r="AN16" s="99"/>
      <c r="AO16" s="98"/>
      <c r="AP16" s="99"/>
      <c r="AQ16" s="99"/>
      <c r="AR16" s="99"/>
      <c r="AS16" s="98"/>
      <c r="AT16" s="99"/>
      <c r="AU16" s="99"/>
      <c r="AV16" s="99"/>
      <c r="AW16" s="98"/>
      <c r="AX16" s="99"/>
      <c r="AY16" s="99"/>
      <c r="AZ16" s="99"/>
      <c r="BA16" s="98"/>
      <c r="BB16" s="99"/>
      <c r="BC16" s="99"/>
      <c r="BD16" s="99"/>
      <c r="BE16" s="98"/>
      <c r="BF16" s="99"/>
      <c r="BG16" s="99"/>
      <c r="BH16" s="99"/>
      <c r="BI16" s="98"/>
      <c r="BJ16" s="99"/>
      <c r="BK16" s="99"/>
      <c r="BL16" s="99"/>
      <c r="BM16" s="98"/>
      <c r="BN16" s="99"/>
      <c r="BO16" s="99"/>
      <c r="BP16" s="99"/>
      <c r="BQ16" s="98"/>
      <c r="BR16" s="99"/>
      <c r="BS16" s="99"/>
      <c r="BT16" s="99"/>
      <c r="BU16" s="98"/>
      <c r="BV16" s="99"/>
      <c r="BW16" s="99"/>
      <c r="BX16" s="99"/>
      <c r="BY16" s="98"/>
      <c r="BZ16" s="99"/>
      <c r="CA16" s="99"/>
      <c r="CB16" s="99"/>
      <c r="CC16" s="98"/>
      <c r="CD16" s="99"/>
      <c r="CE16" s="99"/>
      <c r="CF16" s="99"/>
      <c r="CG16" s="98"/>
      <c r="CH16" s="99"/>
      <c r="CI16" s="99"/>
      <c r="CJ16" s="99"/>
      <c r="CK16" s="98"/>
      <c r="CL16" s="99"/>
      <c r="CM16" s="99"/>
      <c r="CN16" s="99"/>
      <c r="CO16" s="98"/>
      <c r="CP16" s="99"/>
      <c r="CQ16" s="99"/>
      <c r="CR16" s="99"/>
      <c r="CS16" s="98"/>
      <c r="CT16" s="99"/>
      <c r="CU16" s="99"/>
      <c r="CV16" s="99"/>
      <c r="CW16" s="98"/>
      <c r="CX16" s="99"/>
      <c r="CY16" s="99"/>
      <c r="CZ16" s="99"/>
      <c r="DA16" s="98"/>
      <c r="DB16" s="99"/>
      <c r="DC16" s="99"/>
      <c r="DD16" s="99"/>
      <c r="DE16" s="98"/>
      <c r="DF16" s="99"/>
      <c r="DG16" s="99"/>
      <c r="DH16" s="99"/>
      <c r="DI16" s="98"/>
      <c r="DJ16" s="99"/>
      <c r="DK16" s="99"/>
      <c r="DL16" s="99"/>
      <c r="DM16" s="98"/>
      <c r="DN16" s="99"/>
      <c r="DO16" s="99"/>
      <c r="DP16" s="99"/>
      <c r="DQ16" s="98"/>
      <c r="DR16" s="99"/>
      <c r="DS16" s="99"/>
      <c r="DT16" s="99"/>
      <c r="DU16" s="98"/>
      <c r="DV16" s="99"/>
      <c r="DW16" s="99"/>
      <c r="DX16" s="99"/>
      <c r="DY16" s="98"/>
      <c r="DZ16" s="99"/>
      <c r="EA16" s="99"/>
      <c r="EB16" s="99"/>
      <c r="EC16" s="98"/>
      <c r="ED16" s="99"/>
      <c r="EE16" s="99"/>
      <c r="EF16" s="99"/>
      <c r="EG16" s="98"/>
      <c r="EH16" s="99"/>
      <c r="EI16" s="99"/>
      <c r="EJ16" s="99"/>
      <c r="EK16" s="98"/>
      <c r="EL16" s="99"/>
      <c r="EM16" s="99"/>
      <c r="EN16" s="99"/>
      <c r="EO16" s="98"/>
      <c r="EP16" s="99"/>
      <c r="EQ16" s="99"/>
      <c r="ER16" s="99"/>
      <c r="ES16" s="98"/>
      <c r="ET16" s="99"/>
      <c r="EU16" s="99"/>
      <c r="EV16" s="99"/>
      <c r="EW16" s="98"/>
      <c r="EX16" s="99"/>
      <c r="EY16" s="99"/>
      <c r="EZ16" s="99"/>
      <c r="FA16" s="98"/>
      <c r="FB16" s="99"/>
      <c r="FC16" s="99"/>
      <c r="FD16" s="99"/>
      <c r="FE16" s="98"/>
      <c r="FF16" s="99"/>
      <c r="FG16" s="99"/>
      <c r="FH16" s="99"/>
      <c r="FI16" s="98"/>
      <c r="FJ16" s="99"/>
      <c r="FK16" s="99"/>
      <c r="FL16" s="99"/>
      <c r="FM16" s="98"/>
      <c r="FN16" s="99"/>
      <c r="FO16" s="99"/>
      <c r="FP16" s="99"/>
      <c r="FQ16" s="98"/>
      <c r="FR16" s="99"/>
      <c r="FS16" s="99"/>
      <c r="FT16" s="99"/>
      <c r="FU16" s="98"/>
      <c r="FV16" s="99"/>
      <c r="FW16" s="99"/>
      <c r="FX16" s="99"/>
      <c r="FY16" s="98"/>
      <c r="FZ16" s="99"/>
      <c r="GA16" s="98"/>
      <c r="GB16" s="92"/>
      <c r="GC16" s="94"/>
    </row>
    <row r="17" spans="1:185" s="1" customFormat="1" ht="9.75" customHeight="1" thickBot="1" x14ac:dyDescent="0.25">
      <c r="A17" s="3">
        <v>260</v>
      </c>
      <c r="B17" s="103"/>
      <c r="C17" s="95"/>
      <c r="D17" s="71"/>
      <c r="E17" s="71"/>
      <c r="F17" s="71"/>
      <c r="G17" s="71"/>
      <c r="H17" s="91"/>
      <c r="I17" s="92"/>
      <c r="J17" s="92"/>
      <c r="K17" s="92"/>
      <c r="L17" s="91"/>
      <c r="M17" s="92"/>
      <c r="N17" s="92"/>
      <c r="O17" s="92"/>
      <c r="P17" s="91"/>
      <c r="Q17" s="92"/>
      <c r="R17" s="92"/>
      <c r="S17" s="92"/>
      <c r="T17" s="91"/>
      <c r="U17" s="92"/>
      <c r="V17" s="92"/>
      <c r="W17" s="92"/>
      <c r="X17" s="91"/>
      <c r="Y17" s="92"/>
      <c r="Z17" s="92"/>
      <c r="AA17" s="92"/>
      <c r="AB17" s="91"/>
      <c r="AC17" s="92"/>
      <c r="AD17" s="92"/>
      <c r="AE17" s="92"/>
      <c r="AF17" s="91"/>
      <c r="AG17" s="92"/>
      <c r="AH17" s="92"/>
      <c r="AI17" s="92"/>
      <c r="AJ17" s="91"/>
      <c r="AK17" s="92"/>
      <c r="AL17" s="92"/>
      <c r="AM17" s="92"/>
      <c r="AN17" s="91"/>
      <c r="AO17" s="92"/>
      <c r="AP17" s="92"/>
      <c r="AQ17" s="92"/>
      <c r="AR17" s="91"/>
      <c r="AS17" s="92"/>
      <c r="AT17" s="92"/>
      <c r="AU17" s="92"/>
      <c r="AV17" s="91"/>
      <c r="AW17" s="92"/>
      <c r="AX17" s="92"/>
      <c r="AY17" s="92"/>
      <c r="AZ17" s="91"/>
      <c r="BA17" s="92"/>
      <c r="BB17" s="92"/>
      <c r="BC17" s="92"/>
      <c r="BD17" s="91"/>
      <c r="BE17" s="92"/>
      <c r="BF17" s="92"/>
      <c r="BG17" s="92"/>
      <c r="BH17" s="91"/>
      <c r="BI17" s="92"/>
      <c r="BJ17" s="92"/>
      <c r="BK17" s="92"/>
      <c r="BL17" s="91"/>
      <c r="BM17" s="92"/>
      <c r="BN17" s="92"/>
      <c r="BO17" s="92"/>
      <c r="BP17" s="91"/>
      <c r="BQ17" s="92"/>
      <c r="BR17" s="92"/>
      <c r="BS17" s="92"/>
      <c r="BT17" s="91"/>
      <c r="BU17" s="92"/>
      <c r="BV17" s="92"/>
      <c r="BW17" s="92"/>
      <c r="BX17" s="91"/>
      <c r="BY17" s="92"/>
      <c r="BZ17" s="92"/>
      <c r="CA17" s="92"/>
      <c r="CB17" s="91"/>
      <c r="CC17" s="92"/>
      <c r="CD17" s="92"/>
      <c r="CE17" s="92"/>
      <c r="CF17" s="91"/>
      <c r="CG17" s="92"/>
      <c r="CH17" s="92"/>
      <c r="CI17" s="92"/>
      <c r="CJ17" s="91"/>
      <c r="CK17" s="92"/>
      <c r="CL17" s="92"/>
      <c r="CM17" s="92"/>
      <c r="CN17" s="91"/>
      <c r="CO17" s="92"/>
      <c r="CP17" s="92"/>
      <c r="CQ17" s="92"/>
      <c r="CR17" s="91"/>
      <c r="CS17" s="92"/>
      <c r="CT17" s="92"/>
      <c r="CU17" s="92"/>
      <c r="CV17" s="91"/>
      <c r="CW17" s="92"/>
      <c r="CX17" s="92"/>
      <c r="CY17" s="92"/>
      <c r="CZ17" s="91"/>
      <c r="DA17" s="92"/>
      <c r="DB17" s="92"/>
      <c r="DC17" s="92"/>
      <c r="DD17" s="91"/>
      <c r="DE17" s="92"/>
      <c r="DF17" s="92"/>
      <c r="DG17" s="92"/>
      <c r="DH17" s="91"/>
      <c r="DI17" s="92"/>
      <c r="DJ17" s="92"/>
      <c r="DK17" s="92"/>
      <c r="DL17" s="91"/>
      <c r="DM17" s="92"/>
      <c r="DN17" s="92"/>
      <c r="DO17" s="92"/>
      <c r="DP17" s="91"/>
      <c r="DQ17" s="92"/>
      <c r="DR17" s="92"/>
      <c r="DS17" s="92"/>
      <c r="DT17" s="91"/>
      <c r="DU17" s="92"/>
      <c r="DV17" s="92"/>
      <c r="DW17" s="92"/>
      <c r="DX17" s="91"/>
      <c r="DY17" s="92"/>
      <c r="DZ17" s="92"/>
      <c r="EA17" s="92"/>
      <c r="EB17" s="91"/>
      <c r="EC17" s="92"/>
      <c r="ED17" s="92"/>
      <c r="EE17" s="92"/>
      <c r="EF17" s="91"/>
      <c r="EG17" s="92"/>
      <c r="EH17" s="92"/>
      <c r="EI17" s="92"/>
      <c r="EJ17" s="91"/>
      <c r="EK17" s="92"/>
      <c r="EL17" s="92"/>
      <c r="EM17" s="92"/>
      <c r="EN17" s="91"/>
      <c r="EO17" s="92"/>
      <c r="EP17" s="92"/>
      <c r="EQ17" s="92"/>
      <c r="ER17" s="91"/>
      <c r="ES17" s="92"/>
      <c r="ET17" s="92"/>
      <c r="EU17" s="92"/>
      <c r="EV17" s="91"/>
      <c r="EW17" s="92"/>
      <c r="EX17" s="92"/>
      <c r="EY17" s="92"/>
      <c r="EZ17" s="91"/>
      <c r="FA17" s="92"/>
      <c r="FB17" s="92"/>
      <c r="FC17" s="92"/>
      <c r="FD17" s="91"/>
      <c r="FE17" s="92"/>
      <c r="FF17" s="92"/>
      <c r="FG17" s="92"/>
      <c r="FH17" s="91"/>
      <c r="FI17" s="92"/>
      <c r="FJ17" s="92"/>
      <c r="FK17" s="92"/>
      <c r="FL17" s="91"/>
      <c r="FM17" s="92"/>
      <c r="FN17" s="92"/>
      <c r="FO17" s="92"/>
      <c r="FP17" s="91"/>
      <c r="FQ17" s="92"/>
      <c r="FR17" s="92"/>
      <c r="FS17" s="92"/>
      <c r="FT17" s="91"/>
      <c r="FU17" s="92"/>
      <c r="FV17" s="92"/>
      <c r="FW17" s="92"/>
      <c r="FX17" s="91"/>
      <c r="FY17" s="92"/>
      <c r="FZ17" s="92"/>
      <c r="GA17" s="71"/>
      <c r="GB17" s="89"/>
      <c r="GC17" s="93"/>
    </row>
    <row r="18" spans="1:185" s="1" customFormat="1" ht="9.75" customHeight="1" thickBot="1" x14ac:dyDescent="0.25">
      <c r="A18" s="3">
        <v>253.3</v>
      </c>
      <c r="B18" s="103"/>
      <c r="C18" s="92"/>
      <c r="D18" s="101"/>
      <c r="E18" s="99"/>
      <c r="F18" s="99"/>
      <c r="G18" s="99"/>
      <c r="H18" s="92"/>
      <c r="I18" s="91"/>
      <c r="J18" s="92"/>
      <c r="K18" s="92"/>
      <c r="L18" s="92"/>
      <c r="M18" s="91"/>
      <c r="N18" s="92"/>
      <c r="O18" s="92"/>
      <c r="P18" s="92"/>
      <c r="Q18" s="91"/>
      <c r="R18" s="92"/>
      <c r="S18" s="92"/>
      <c r="T18" s="92"/>
      <c r="U18" s="91"/>
      <c r="V18" s="92"/>
      <c r="W18" s="92"/>
      <c r="X18" s="92"/>
      <c r="Y18" s="91"/>
      <c r="Z18" s="92"/>
      <c r="AA18" s="92"/>
      <c r="AB18" s="92"/>
      <c r="AC18" s="91"/>
      <c r="AD18" s="92"/>
      <c r="AE18" s="92"/>
      <c r="AF18" s="92"/>
      <c r="AG18" s="91"/>
      <c r="AH18" s="92"/>
      <c r="AI18" s="92"/>
      <c r="AJ18" s="92"/>
      <c r="AK18" s="91"/>
      <c r="AL18" s="92"/>
      <c r="AM18" s="92"/>
      <c r="AN18" s="92"/>
      <c r="AO18" s="91"/>
      <c r="AP18" s="92"/>
      <c r="AQ18" s="92"/>
      <c r="AR18" s="92"/>
      <c r="AS18" s="91"/>
      <c r="AT18" s="92"/>
      <c r="AU18" s="92"/>
      <c r="AV18" s="92"/>
      <c r="AW18" s="91"/>
      <c r="AX18" s="92"/>
      <c r="AY18" s="92"/>
      <c r="AZ18" s="92"/>
      <c r="BA18" s="91"/>
      <c r="BB18" s="92"/>
      <c r="BC18" s="92"/>
      <c r="BD18" s="92"/>
      <c r="BE18" s="91"/>
      <c r="BF18" s="92"/>
      <c r="BG18" s="92"/>
      <c r="BH18" s="92"/>
      <c r="BI18" s="91"/>
      <c r="BJ18" s="92"/>
      <c r="BK18" s="92"/>
      <c r="BL18" s="92"/>
      <c r="BM18" s="91"/>
      <c r="BN18" s="92"/>
      <c r="BO18" s="92"/>
      <c r="BP18" s="92"/>
      <c r="BQ18" s="91"/>
      <c r="BR18" s="92"/>
      <c r="BS18" s="92"/>
      <c r="BT18" s="92"/>
      <c r="BU18" s="91"/>
      <c r="BV18" s="92"/>
      <c r="BW18" s="92"/>
      <c r="BX18" s="92"/>
      <c r="BY18" s="91"/>
      <c r="BZ18" s="92"/>
      <c r="CA18" s="92"/>
      <c r="CB18" s="92"/>
      <c r="CC18" s="91"/>
      <c r="CD18" s="92"/>
      <c r="CE18" s="92"/>
      <c r="CF18" s="92"/>
      <c r="CG18" s="91"/>
      <c r="CH18" s="92"/>
      <c r="CI18" s="92"/>
      <c r="CJ18" s="92"/>
      <c r="CK18" s="91"/>
      <c r="CL18" s="92"/>
      <c r="CM18" s="92"/>
      <c r="CN18" s="92"/>
      <c r="CO18" s="91"/>
      <c r="CP18" s="92"/>
      <c r="CQ18" s="92"/>
      <c r="CR18" s="92"/>
      <c r="CS18" s="91"/>
      <c r="CT18" s="92"/>
      <c r="CU18" s="92"/>
      <c r="CV18" s="92"/>
      <c r="CW18" s="91"/>
      <c r="CX18" s="92"/>
      <c r="CY18" s="92"/>
      <c r="CZ18" s="92"/>
      <c r="DA18" s="91"/>
      <c r="DB18" s="92"/>
      <c r="DC18" s="92"/>
      <c r="DD18" s="92"/>
      <c r="DE18" s="91"/>
      <c r="DF18" s="92"/>
      <c r="DG18" s="92"/>
      <c r="DH18" s="92"/>
      <c r="DI18" s="91"/>
      <c r="DJ18" s="92"/>
      <c r="DK18" s="92"/>
      <c r="DL18" s="92"/>
      <c r="DM18" s="91"/>
      <c r="DN18" s="92"/>
      <c r="DO18" s="92"/>
      <c r="DP18" s="92"/>
      <c r="DQ18" s="91"/>
      <c r="DR18" s="92"/>
      <c r="DS18" s="92"/>
      <c r="DT18" s="92"/>
      <c r="DU18" s="91"/>
      <c r="DV18" s="92"/>
      <c r="DW18" s="92"/>
      <c r="DX18" s="92"/>
      <c r="DY18" s="91"/>
      <c r="DZ18" s="92"/>
      <c r="EA18" s="92"/>
      <c r="EB18" s="92"/>
      <c r="EC18" s="91"/>
      <c r="ED18" s="92"/>
      <c r="EE18" s="92"/>
      <c r="EF18" s="92"/>
      <c r="EG18" s="91"/>
      <c r="EH18" s="92"/>
      <c r="EI18" s="92"/>
      <c r="EJ18" s="92"/>
      <c r="EK18" s="91"/>
      <c r="EL18" s="92"/>
      <c r="EM18" s="92"/>
      <c r="EN18" s="92"/>
      <c r="EO18" s="91"/>
      <c r="EP18" s="92"/>
      <c r="EQ18" s="92"/>
      <c r="ER18" s="92"/>
      <c r="ES18" s="91"/>
      <c r="ET18" s="92"/>
      <c r="EU18" s="92"/>
      <c r="EV18" s="92"/>
      <c r="EW18" s="91"/>
      <c r="EX18" s="92"/>
      <c r="EY18" s="92"/>
      <c r="EZ18" s="92"/>
      <c r="FA18" s="91"/>
      <c r="FB18" s="92"/>
      <c r="FC18" s="92"/>
      <c r="FD18" s="92"/>
      <c r="FE18" s="91"/>
      <c r="FF18" s="92"/>
      <c r="FG18" s="92"/>
      <c r="FH18" s="92"/>
      <c r="FI18" s="91"/>
      <c r="FJ18" s="92"/>
      <c r="FK18" s="92"/>
      <c r="FL18" s="92"/>
      <c r="FM18" s="91"/>
      <c r="FN18" s="92"/>
      <c r="FO18" s="92"/>
      <c r="FP18" s="92"/>
      <c r="FQ18" s="91"/>
      <c r="FR18" s="92"/>
      <c r="FS18" s="92"/>
      <c r="FT18" s="92"/>
      <c r="FU18" s="91"/>
      <c r="FV18" s="92"/>
      <c r="FW18" s="92"/>
      <c r="FX18" s="92"/>
      <c r="FY18" s="91"/>
      <c r="FZ18" s="92"/>
      <c r="GA18" s="98"/>
      <c r="GB18" s="99"/>
      <c r="GC18" s="100"/>
    </row>
    <row r="19" spans="1:185" s="1" customFormat="1" ht="9.75" customHeight="1" thickBot="1" x14ac:dyDescent="0.25">
      <c r="A19" s="3">
        <v>246.7</v>
      </c>
      <c r="B19" s="103"/>
      <c r="C19" s="95"/>
      <c r="D19" s="92"/>
      <c r="E19" s="92"/>
      <c r="F19" s="91"/>
      <c r="G19" s="92"/>
      <c r="H19" s="92"/>
      <c r="I19" s="92"/>
      <c r="J19" s="91"/>
      <c r="K19" s="92"/>
      <c r="L19" s="92"/>
      <c r="M19" s="92"/>
      <c r="N19" s="91"/>
      <c r="O19" s="92"/>
      <c r="P19" s="92"/>
      <c r="Q19" s="92"/>
      <c r="R19" s="91"/>
      <c r="S19" s="92"/>
      <c r="T19" s="92"/>
      <c r="U19" s="92"/>
      <c r="V19" s="91"/>
      <c r="W19" s="92"/>
      <c r="X19" s="92"/>
      <c r="Y19" s="92"/>
      <c r="Z19" s="91"/>
      <c r="AA19" s="92"/>
      <c r="AB19" s="92"/>
      <c r="AC19" s="92"/>
      <c r="AD19" s="91"/>
      <c r="AE19" s="92"/>
      <c r="AF19" s="92"/>
      <c r="AG19" s="92"/>
      <c r="AH19" s="91"/>
      <c r="AI19" s="92"/>
      <c r="AJ19" s="92"/>
      <c r="AK19" s="92"/>
      <c r="AL19" s="91"/>
      <c r="AM19" s="92"/>
      <c r="AN19" s="92"/>
      <c r="AO19" s="92"/>
      <c r="AP19" s="91"/>
      <c r="AQ19" s="92"/>
      <c r="AR19" s="92"/>
      <c r="AS19" s="92"/>
      <c r="AT19" s="91"/>
      <c r="AU19" s="92"/>
      <c r="AV19" s="92"/>
      <c r="AW19" s="92"/>
      <c r="AX19" s="91"/>
      <c r="AY19" s="92"/>
      <c r="AZ19" s="92"/>
      <c r="BA19" s="92"/>
      <c r="BB19" s="91"/>
      <c r="BC19" s="92"/>
      <c r="BD19" s="92"/>
      <c r="BE19" s="92"/>
      <c r="BF19" s="91"/>
      <c r="BG19" s="92"/>
      <c r="BH19" s="92"/>
      <c r="BI19" s="92"/>
      <c r="BJ19" s="91"/>
      <c r="BK19" s="92"/>
      <c r="BL19" s="92"/>
      <c r="BM19" s="92"/>
      <c r="BN19" s="91"/>
      <c r="BO19" s="92"/>
      <c r="BP19" s="92"/>
      <c r="BQ19" s="92"/>
      <c r="BR19" s="91"/>
      <c r="BS19" s="92"/>
      <c r="BT19" s="92"/>
      <c r="BU19" s="92"/>
      <c r="BV19" s="91"/>
      <c r="BW19" s="92"/>
      <c r="BX19" s="92"/>
      <c r="BY19" s="92"/>
      <c r="BZ19" s="91"/>
      <c r="CA19" s="92"/>
      <c r="CB19" s="92"/>
      <c r="CC19" s="92"/>
      <c r="CD19" s="91"/>
      <c r="CE19" s="92"/>
      <c r="CF19" s="92"/>
      <c r="CG19" s="92"/>
      <c r="CH19" s="91"/>
      <c r="CI19" s="92"/>
      <c r="CJ19" s="92"/>
      <c r="CK19" s="92"/>
      <c r="CL19" s="91"/>
      <c r="CM19" s="92"/>
      <c r="CN19" s="92"/>
      <c r="CO19" s="92"/>
      <c r="CP19" s="91"/>
      <c r="CQ19" s="92"/>
      <c r="CR19" s="92"/>
      <c r="CS19" s="92"/>
      <c r="CT19" s="91"/>
      <c r="CU19" s="92"/>
      <c r="CV19" s="92"/>
      <c r="CW19" s="92"/>
      <c r="CX19" s="91"/>
      <c r="CY19" s="92"/>
      <c r="CZ19" s="92"/>
      <c r="DA19" s="92"/>
      <c r="DB19" s="91"/>
      <c r="DC19" s="92"/>
      <c r="DD19" s="92"/>
      <c r="DE19" s="92"/>
      <c r="DF19" s="91"/>
      <c r="DG19" s="92"/>
      <c r="DH19" s="92"/>
      <c r="DI19" s="92"/>
      <c r="DJ19" s="116"/>
      <c r="DK19" s="117"/>
      <c r="DL19" s="117"/>
      <c r="DM19" s="117"/>
      <c r="DN19" s="116"/>
      <c r="DO19" s="117"/>
      <c r="DP19" s="117"/>
      <c r="DQ19" s="117"/>
      <c r="DR19" s="116"/>
      <c r="DS19" s="117"/>
      <c r="DT19" s="117"/>
      <c r="DU19" s="117"/>
      <c r="DV19" s="116"/>
      <c r="DW19" s="117"/>
      <c r="DX19" s="117"/>
      <c r="DY19" s="117"/>
      <c r="DZ19" s="116"/>
      <c r="EA19" s="117"/>
      <c r="EB19" s="117"/>
      <c r="EC19" s="117"/>
      <c r="ED19" s="116"/>
      <c r="EE19" s="117"/>
      <c r="EF19" s="117"/>
      <c r="EG19" s="117"/>
      <c r="EH19" s="116"/>
      <c r="EI19" s="117"/>
      <c r="EJ19" s="117"/>
      <c r="EK19" s="117"/>
      <c r="EL19" s="116"/>
      <c r="EM19" s="117"/>
      <c r="EN19" s="117"/>
      <c r="EO19" s="117"/>
      <c r="EP19" s="116"/>
      <c r="EQ19" s="117"/>
      <c r="ER19" s="117"/>
      <c r="ES19" s="117"/>
      <c r="ET19" s="116"/>
      <c r="EU19" s="117"/>
      <c r="EV19" s="117"/>
      <c r="EW19" s="117"/>
      <c r="EX19" s="116"/>
      <c r="EY19" s="117"/>
      <c r="EZ19" s="117"/>
      <c r="FA19" s="117"/>
      <c r="FB19" s="116"/>
      <c r="FC19" s="117"/>
      <c r="FD19" s="117"/>
      <c r="FE19" s="117"/>
      <c r="FF19" s="116"/>
      <c r="FG19" s="117"/>
      <c r="FH19" s="117"/>
      <c r="FI19" s="117"/>
      <c r="FJ19" s="116"/>
      <c r="FK19" s="117"/>
      <c r="FL19" s="117"/>
      <c r="FM19" s="117"/>
      <c r="FN19" s="116"/>
      <c r="FO19" s="117"/>
      <c r="FP19" s="117"/>
      <c r="FQ19" s="117"/>
      <c r="FR19" s="91"/>
      <c r="FS19" s="92"/>
      <c r="FT19" s="92"/>
      <c r="FU19" s="92"/>
      <c r="FV19" s="91"/>
      <c r="FW19" s="92"/>
      <c r="FX19" s="92"/>
      <c r="FY19" s="92"/>
      <c r="FZ19" s="91"/>
      <c r="GA19" s="71"/>
      <c r="GB19" s="91"/>
      <c r="GC19" s="94"/>
    </row>
    <row r="20" spans="1:185" s="71" customFormat="1" ht="9.75" customHeight="1" thickBot="1" x14ac:dyDescent="0.25">
      <c r="A20" s="6">
        <v>240</v>
      </c>
      <c r="B20" s="107"/>
      <c r="C20" s="99"/>
      <c r="D20" s="101"/>
      <c r="E20" s="99"/>
      <c r="F20" s="99"/>
      <c r="G20" s="99"/>
      <c r="H20" s="99"/>
      <c r="I20" s="98"/>
      <c r="J20" s="99"/>
      <c r="K20" s="99"/>
      <c r="L20" s="99"/>
      <c r="M20" s="98"/>
      <c r="N20" s="99"/>
      <c r="O20" s="99"/>
      <c r="P20" s="99"/>
      <c r="Q20" s="98"/>
      <c r="R20" s="99"/>
      <c r="S20" s="99"/>
      <c r="T20" s="99"/>
      <c r="U20" s="98"/>
      <c r="V20" s="99"/>
      <c r="W20" s="99"/>
      <c r="X20" s="99"/>
      <c r="Y20" s="98"/>
      <c r="Z20" s="99"/>
      <c r="AA20" s="99"/>
      <c r="AB20" s="99"/>
      <c r="AC20" s="98"/>
      <c r="AD20" s="99"/>
      <c r="AE20" s="99"/>
      <c r="AF20" s="99"/>
      <c r="AG20" s="98"/>
      <c r="AH20" s="99"/>
      <c r="AI20" s="99"/>
      <c r="AJ20" s="99"/>
      <c r="AK20" s="98"/>
      <c r="AL20" s="99"/>
      <c r="AM20" s="99"/>
      <c r="AN20" s="99"/>
      <c r="AO20" s="98"/>
      <c r="AP20" s="99"/>
      <c r="AQ20" s="99"/>
      <c r="AR20" s="99"/>
      <c r="AS20" s="98"/>
      <c r="AT20" s="99"/>
      <c r="AU20" s="99"/>
      <c r="AV20" s="99"/>
      <c r="AW20" s="98"/>
      <c r="AX20" s="99"/>
      <c r="AY20" s="99"/>
      <c r="AZ20" s="99"/>
      <c r="BA20" s="98"/>
      <c r="BB20" s="99"/>
      <c r="BC20" s="99"/>
      <c r="BD20" s="99"/>
      <c r="BE20" s="98"/>
      <c r="BF20" s="99"/>
      <c r="BG20" s="99"/>
      <c r="BH20" s="99"/>
      <c r="BI20" s="98"/>
      <c r="BJ20" s="99"/>
      <c r="BK20" s="99"/>
      <c r="BL20" s="99"/>
      <c r="BM20" s="98"/>
      <c r="BN20" s="99"/>
      <c r="BO20" s="99"/>
      <c r="BP20" s="99"/>
      <c r="BQ20" s="98"/>
      <c r="BR20" s="99"/>
      <c r="BS20" s="99"/>
      <c r="BT20" s="99"/>
      <c r="BU20" s="98"/>
      <c r="BV20" s="99"/>
      <c r="BW20" s="99"/>
      <c r="BX20" s="99"/>
      <c r="BY20" s="98"/>
      <c r="BZ20" s="99"/>
      <c r="CA20" s="99"/>
      <c r="CB20" s="99"/>
      <c r="CC20" s="98"/>
      <c r="CD20" s="99"/>
      <c r="CE20" s="99"/>
      <c r="CF20" s="99"/>
      <c r="CG20" s="98"/>
      <c r="CH20" s="99"/>
      <c r="CI20" s="99"/>
      <c r="CJ20" s="99"/>
      <c r="CK20" s="98"/>
      <c r="CL20" s="99"/>
      <c r="CM20" s="99"/>
      <c r="CN20" s="99"/>
      <c r="CO20" s="98"/>
      <c r="CP20" s="99"/>
      <c r="CQ20" s="99"/>
      <c r="CR20" s="99"/>
      <c r="CS20" s="98"/>
      <c r="CT20" s="99"/>
      <c r="CU20" s="99"/>
      <c r="CV20" s="99"/>
      <c r="CW20" s="98"/>
      <c r="CX20" s="99"/>
      <c r="CY20" s="99"/>
      <c r="CZ20" s="99"/>
      <c r="DA20" s="98"/>
      <c r="DB20" s="99"/>
      <c r="DC20" s="99"/>
      <c r="DD20" s="99"/>
      <c r="DE20" s="98"/>
      <c r="DF20" s="99"/>
      <c r="DG20" s="99"/>
      <c r="DH20" s="99"/>
      <c r="DI20" s="127"/>
      <c r="DJ20" s="118"/>
      <c r="DK20" s="118"/>
      <c r="DL20" s="118"/>
      <c r="DM20" s="127"/>
      <c r="DN20" s="118"/>
      <c r="DO20" s="118"/>
      <c r="DP20" s="128"/>
      <c r="DQ20" s="129"/>
      <c r="DR20" s="128"/>
      <c r="DS20" s="128"/>
      <c r="DT20" s="128"/>
      <c r="DU20" s="129"/>
      <c r="DV20" s="128"/>
      <c r="DW20" s="128"/>
      <c r="DX20" s="128"/>
      <c r="DY20" s="129"/>
      <c r="DZ20" s="128"/>
      <c r="EA20" s="128"/>
      <c r="EB20" s="128"/>
      <c r="EC20" s="129"/>
      <c r="ED20" s="128"/>
      <c r="EE20" s="128"/>
      <c r="EF20" s="128"/>
      <c r="EG20" s="129"/>
      <c r="EH20" s="128"/>
      <c r="EI20" s="128"/>
      <c r="EJ20" s="128"/>
      <c r="EK20" s="129"/>
      <c r="EL20" s="128"/>
      <c r="EM20" s="128"/>
      <c r="EN20" s="128"/>
      <c r="EO20" s="129"/>
      <c r="EP20" s="128"/>
      <c r="EQ20" s="128"/>
      <c r="ER20" s="128"/>
      <c r="ES20" s="129"/>
      <c r="ET20" s="128"/>
      <c r="EU20" s="128"/>
      <c r="EV20" s="128"/>
      <c r="EW20" s="129"/>
      <c r="EX20" s="128"/>
      <c r="EY20" s="128"/>
      <c r="EZ20" s="128"/>
      <c r="FA20" s="129"/>
      <c r="FB20" s="128"/>
      <c r="FC20" s="128"/>
      <c r="FD20" s="128"/>
      <c r="FE20" s="129"/>
      <c r="FF20" s="128"/>
      <c r="FG20" s="128"/>
      <c r="FH20" s="128"/>
      <c r="FI20" s="129"/>
      <c r="FJ20" s="128"/>
      <c r="FK20" s="128"/>
      <c r="FL20" s="118"/>
      <c r="FM20" s="127"/>
      <c r="FN20" s="118"/>
      <c r="FO20" s="118"/>
      <c r="FP20" s="118"/>
      <c r="FQ20" s="98"/>
      <c r="FR20" s="99"/>
      <c r="FS20" s="99"/>
      <c r="FT20" s="99"/>
      <c r="FU20" s="98"/>
      <c r="FV20" s="99"/>
      <c r="FW20" s="99"/>
      <c r="FX20" s="99"/>
      <c r="FY20" s="98"/>
      <c r="FZ20" s="99"/>
      <c r="GA20" s="98"/>
      <c r="GB20" s="92"/>
      <c r="GC20" s="94"/>
    </row>
    <row r="21" spans="1:185" s="71" customFormat="1" ht="9.75" customHeight="1" thickBot="1" x14ac:dyDescent="0.25">
      <c r="A21" s="6">
        <v>233.3</v>
      </c>
      <c r="B21" s="103"/>
      <c r="C21" s="95"/>
      <c r="H21" s="91"/>
      <c r="I21" s="92"/>
      <c r="J21" s="92"/>
      <c r="K21" s="92"/>
      <c r="L21" s="91"/>
      <c r="M21" s="92"/>
      <c r="N21" s="92"/>
      <c r="O21" s="92"/>
      <c r="P21" s="91"/>
      <c r="Q21" s="92"/>
      <c r="R21" s="92"/>
      <c r="S21" s="92"/>
      <c r="T21" s="91"/>
      <c r="U21" s="92"/>
      <c r="V21" s="92"/>
      <c r="W21" s="92"/>
      <c r="X21" s="91"/>
      <c r="Y21" s="92"/>
      <c r="Z21" s="92"/>
      <c r="AA21" s="92"/>
      <c r="AB21" s="91"/>
      <c r="AC21" s="92"/>
      <c r="AD21" s="92"/>
      <c r="AE21" s="92"/>
      <c r="AF21" s="91"/>
      <c r="AG21" s="92"/>
      <c r="AH21" s="92"/>
      <c r="AI21" s="92"/>
      <c r="AJ21" s="91"/>
      <c r="AK21" s="92"/>
      <c r="AL21" s="92"/>
      <c r="AM21" s="92"/>
      <c r="AN21" s="91"/>
      <c r="AO21" s="92"/>
      <c r="AP21" s="92"/>
      <c r="AQ21" s="92"/>
      <c r="AR21" s="91"/>
      <c r="AS21" s="92"/>
      <c r="AT21" s="92"/>
      <c r="AU21" s="92"/>
      <c r="AV21" s="91"/>
      <c r="AW21" s="92"/>
      <c r="AX21" s="92"/>
      <c r="AY21" s="92"/>
      <c r="AZ21" s="91"/>
      <c r="BA21" s="92"/>
      <c r="BB21" s="92"/>
      <c r="BC21" s="92"/>
      <c r="BD21" s="91"/>
      <c r="BE21" s="92"/>
      <c r="BF21" s="92"/>
      <c r="BG21" s="92"/>
      <c r="BH21" s="91"/>
      <c r="BI21" s="92"/>
      <c r="BJ21" s="92"/>
      <c r="BK21" s="92"/>
      <c r="BL21" s="91"/>
      <c r="BM21" s="92"/>
      <c r="BN21" s="92"/>
      <c r="BO21" s="92"/>
      <c r="BP21" s="91"/>
      <c r="BQ21" s="92"/>
      <c r="BR21" s="92"/>
      <c r="BS21" s="92"/>
      <c r="BT21" s="91"/>
      <c r="BU21" s="92"/>
      <c r="BV21" s="92"/>
      <c r="BW21" s="92"/>
      <c r="BX21" s="91"/>
      <c r="BY21" s="92"/>
      <c r="BZ21" s="92"/>
      <c r="CA21" s="92"/>
      <c r="CB21" s="91"/>
      <c r="CC21" s="92"/>
      <c r="CD21" s="92"/>
      <c r="CE21" s="92"/>
      <c r="CF21" s="91"/>
      <c r="CG21" s="92"/>
      <c r="CH21" s="92"/>
      <c r="CI21" s="92"/>
      <c r="CJ21" s="91"/>
      <c r="CK21" s="92"/>
      <c r="CL21" s="92"/>
      <c r="CM21" s="92"/>
      <c r="CN21" s="91"/>
      <c r="CO21" s="92"/>
      <c r="CP21" s="92"/>
      <c r="CQ21" s="92"/>
      <c r="CR21" s="91"/>
      <c r="CS21" s="92"/>
      <c r="CT21" s="92"/>
      <c r="CU21" s="92"/>
      <c r="CV21" s="91"/>
      <c r="CW21" s="92"/>
      <c r="CX21" s="92"/>
      <c r="CY21" s="92"/>
      <c r="CZ21" s="91"/>
      <c r="DA21" s="92"/>
      <c r="DB21" s="92"/>
      <c r="DC21" s="92"/>
      <c r="DD21" s="91"/>
      <c r="DE21" s="92"/>
      <c r="DF21" s="92"/>
      <c r="DG21" s="92"/>
      <c r="DH21" s="91"/>
      <c r="DI21" s="92"/>
      <c r="DJ21" s="92"/>
      <c r="DK21" s="92"/>
      <c r="DL21" s="91"/>
      <c r="DM21" s="92"/>
      <c r="DN21" s="92"/>
      <c r="DO21" s="92"/>
      <c r="DP21" s="110"/>
      <c r="DQ21" s="105"/>
      <c r="DR21" s="105"/>
      <c r="DS21" s="105"/>
      <c r="DT21" s="105"/>
      <c r="DU21" s="105"/>
      <c r="DV21" s="105"/>
      <c r="DW21" s="105"/>
      <c r="DX21" s="105"/>
      <c r="DY21" s="105"/>
      <c r="DZ21" s="105"/>
      <c r="EA21" s="105"/>
      <c r="EB21" s="105"/>
      <c r="EC21" s="105"/>
      <c r="ED21" s="105"/>
      <c r="EE21" s="105"/>
      <c r="EF21" s="105"/>
      <c r="EG21" s="105"/>
      <c r="EH21" s="105"/>
      <c r="EI21" s="105"/>
      <c r="EJ21" s="105"/>
      <c r="EK21" s="105"/>
      <c r="EL21" s="105"/>
      <c r="EM21" s="105"/>
      <c r="EN21" s="105"/>
      <c r="EO21" s="105"/>
      <c r="EP21" s="105"/>
      <c r="EQ21" s="105"/>
      <c r="ER21" s="105"/>
      <c r="ES21" s="105"/>
      <c r="ET21" s="105"/>
      <c r="EU21" s="105"/>
      <c r="EV21" s="105"/>
      <c r="EW21" s="105"/>
      <c r="EX21" s="105"/>
      <c r="EY21" s="105"/>
      <c r="EZ21" s="105"/>
      <c r="FA21" s="105"/>
      <c r="FB21" s="105"/>
      <c r="FC21" s="105"/>
      <c r="FD21" s="105"/>
      <c r="FE21" s="105"/>
      <c r="FF21" s="105"/>
      <c r="FG21" s="105"/>
      <c r="FH21" s="105"/>
      <c r="FI21" s="105"/>
      <c r="FJ21" s="105"/>
      <c r="FK21" s="112"/>
      <c r="FO21" s="92"/>
      <c r="FP21" s="91"/>
      <c r="FQ21" s="92"/>
      <c r="FR21" s="92"/>
      <c r="FS21" s="92"/>
      <c r="FT21" s="91"/>
      <c r="FU21" s="92"/>
      <c r="FV21" s="92"/>
      <c r="FW21" s="92"/>
      <c r="FX21" s="91"/>
      <c r="FY21" s="92"/>
      <c r="FZ21" s="92"/>
      <c r="GB21" s="89"/>
      <c r="GC21" s="93"/>
    </row>
    <row r="22" spans="1:185" s="71" customFormat="1" ht="9.75" customHeight="1" thickBot="1" x14ac:dyDescent="0.25">
      <c r="A22" s="6">
        <v>226.7</v>
      </c>
      <c r="B22" s="103"/>
      <c r="C22" s="92"/>
      <c r="D22" s="101"/>
      <c r="E22" s="99"/>
      <c r="F22" s="99"/>
      <c r="G22" s="99"/>
      <c r="H22" s="92"/>
      <c r="I22" s="91"/>
      <c r="J22" s="92"/>
      <c r="K22" s="92"/>
      <c r="L22" s="92"/>
      <c r="M22" s="91"/>
      <c r="N22" s="92"/>
      <c r="O22" s="92"/>
      <c r="P22" s="92"/>
      <c r="Q22" s="91"/>
      <c r="R22" s="92"/>
      <c r="S22" s="92"/>
      <c r="T22" s="92"/>
      <c r="U22" s="91"/>
      <c r="V22" s="92"/>
      <c r="W22" s="92"/>
      <c r="X22" s="92"/>
      <c r="Y22" s="91"/>
      <c r="Z22" s="92"/>
      <c r="AA22" s="92"/>
      <c r="AB22" s="92"/>
      <c r="AC22" s="91"/>
      <c r="AD22" s="92"/>
      <c r="AE22" s="92"/>
      <c r="AF22" s="92"/>
      <c r="AG22" s="91"/>
      <c r="AH22" s="92"/>
      <c r="AI22" s="92"/>
      <c r="AJ22" s="92"/>
      <c r="AK22" s="91"/>
      <c r="AL22" s="92"/>
      <c r="AM22" s="92"/>
      <c r="AN22" s="92"/>
      <c r="AO22" s="91"/>
      <c r="AP22" s="92"/>
      <c r="AQ22" s="92"/>
      <c r="AR22" s="92"/>
      <c r="AS22" s="91"/>
      <c r="AT22" s="92"/>
      <c r="AU22" s="92"/>
      <c r="AV22" s="92"/>
      <c r="AW22" s="91"/>
      <c r="AX22" s="92"/>
      <c r="AY22" s="92"/>
      <c r="AZ22" s="92"/>
      <c r="BA22" s="91"/>
      <c r="BB22" s="92"/>
      <c r="BC22" s="92"/>
      <c r="BD22" s="92"/>
      <c r="BE22" s="91"/>
      <c r="BF22" s="92"/>
      <c r="BG22" s="92"/>
      <c r="BH22" s="92"/>
      <c r="BI22" s="91"/>
      <c r="BJ22" s="92"/>
      <c r="BK22" s="92"/>
      <c r="BL22" s="92"/>
      <c r="BM22" s="91"/>
      <c r="BN22" s="92"/>
      <c r="BO22" s="92"/>
      <c r="BP22" s="92"/>
      <c r="BQ22" s="91"/>
      <c r="BR22" s="92"/>
      <c r="BS22" s="92"/>
      <c r="BT22" s="92"/>
      <c r="BU22" s="91"/>
      <c r="BV22" s="92"/>
      <c r="BW22" s="92"/>
      <c r="BX22" s="92"/>
      <c r="BY22" s="91"/>
      <c r="BZ22" s="92"/>
      <c r="CA22" s="92"/>
      <c r="CB22" s="92"/>
      <c r="CC22" s="91"/>
      <c r="CD22" s="92"/>
      <c r="CE22" s="92"/>
      <c r="CF22" s="92"/>
      <c r="CG22" s="91"/>
      <c r="CH22" s="92"/>
      <c r="CI22" s="92"/>
      <c r="CJ22" s="92"/>
      <c r="CK22" s="91"/>
      <c r="CL22" s="92"/>
      <c r="CM22" s="92"/>
      <c r="CN22" s="92"/>
      <c r="CO22" s="91"/>
      <c r="CP22" s="92"/>
      <c r="CQ22" s="92"/>
      <c r="CR22" s="92"/>
      <c r="CS22" s="91"/>
      <c r="CT22" s="92"/>
      <c r="CU22" s="92"/>
      <c r="CV22" s="92"/>
      <c r="CW22" s="91"/>
      <c r="CX22" s="92"/>
      <c r="CY22" s="92"/>
      <c r="CZ22" s="92"/>
      <c r="DA22" s="91"/>
      <c r="DB22" s="92"/>
      <c r="DC22" s="92"/>
      <c r="DD22" s="92"/>
      <c r="DE22" s="91"/>
      <c r="DF22" s="92"/>
      <c r="DG22" s="92"/>
      <c r="DH22" s="92"/>
      <c r="DI22" s="91"/>
      <c r="DJ22" s="92"/>
      <c r="DK22" s="92"/>
      <c r="DL22" s="92"/>
      <c r="DM22" s="91"/>
      <c r="DN22" s="92"/>
      <c r="DO22" s="92"/>
      <c r="DP22" s="88"/>
      <c r="EN22" s="114" t="s">
        <v>91</v>
      </c>
      <c r="FK22" s="93"/>
      <c r="FL22" s="99"/>
      <c r="FM22" s="99"/>
      <c r="FN22" s="101"/>
      <c r="FO22" s="92"/>
      <c r="FP22" s="92"/>
      <c r="FQ22" s="91"/>
      <c r="FR22" s="92"/>
      <c r="FS22" s="92"/>
      <c r="FT22" s="92"/>
      <c r="FU22" s="91"/>
      <c r="FV22" s="92"/>
      <c r="FW22" s="92"/>
      <c r="FX22" s="92"/>
      <c r="FY22" s="91"/>
      <c r="FZ22" s="92"/>
      <c r="GA22" s="98"/>
      <c r="GB22" s="99"/>
      <c r="GC22" s="100"/>
    </row>
    <row r="23" spans="1:185" s="71" customFormat="1" ht="9.75" customHeight="1" thickBot="1" x14ac:dyDescent="0.25">
      <c r="A23" s="6">
        <v>220</v>
      </c>
      <c r="B23" s="103"/>
      <c r="C23" s="95"/>
      <c r="D23" s="92"/>
      <c r="E23" s="92"/>
      <c r="F23" s="91"/>
      <c r="G23" s="92"/>
      <c r="H23" s="92"/>
      <c r="I23" s="92"/>
      <c r="J23" s="91"/>
      <c r="K23" s="92"/>
      <c r="L23" s="92"/>
      <c r="M23" s="92"/>
      <c r="N23" s="119"/>
      <c r="O23" s="120"/>
      <c r="P23" s="120"/>
      <c r="Q23" s="120"/>
      <c r="R23" s="121"/>
      <c r="S23" s="120"/>
      <c r="T23" s="120"/>
      <c r="U23" s="120"/>
      <c r="V23" s="121"/>
      <c r="W23" s="120"/>
      <c r="X23" s="120"/>
      <c r="Y23" s="120"/>
      <c r="Z23" s="121"/>
      <c r="AA23" s="120"/>
      <c r="AB23" s="120"/>
      <c r="AC23" s="120"/>
      <c r="AD23" s="121"/>
      <c r="AE23" s="120"/>
      <c r="AF23" s="120"/>
      <c r="AG23" s="120"/>
      <c r="AH23" s="121"/>
      <c r="AI23" s="120"/>
      <c r="AJ23" s="120"/>
      <c r="AK23" s="120"/>
      <c r="AL23" s="121"/>
      <c r="AM23" s="120"/>
      <c r="AN23" s="120"/>
      <c r="AO23" s="120"/>
      <c r="AP23" s="121"/>
      <c r="AQ23" s="120"/>
      <c r="AR23" s="120"/>
      <c r="AS23" s="120"/>
      <c r="AT23" s="121"/>
      <c r="AU23" s="120"/>
      <c r="AV23" s="120"/>
      <c r="AW23" s="120"/>
      <c r="AX23" s="119"/>
      <c r="AY23" s="122"/>
      <c r="AZ23" s="122"/>
      <c r="BA23" s="122"/>
      <c r="BB23" s="91"/>
      <c r="BC23" s="92"/>
      <c r="BD23" s="92"/>
      <c r="BE23" s="92"/>
      <c r="BF23" s="91"/>
      <c r="BG23" s="92"/>
      <c r="BH23" s="92"/>
      <c r="BI23" s="92"/>
      <c r="BJ23" s="119"/>
      <c r="BK23" s="122"/>
      <c r="BL23" s="122"/>
      <c r="BM23" s="122"/>
      <c r="BN23" s="119"/>
      <c r="BO23" s="122"/>
      <c r="BP23" s="122"/>
      <c r="BQ23" s="120"/>
      <c r="BR23" s="121"/>
      <c r="BS23" s="120"/>
      <c r="BT23" s="120"/>
      <c r="BU23" s="120"/>
      <c r="BV23" s="121"/>
      <c r="BW23" s="120"/>
      <c r="BX23" s="120"/>
      <c r="BY23" s="120"/>
      <c r="BZ23" s="121"/>
      <c r="CA23" s="120"/>
      <c r="CB23" s="120"/>
      <c r="CC23" s="120"/>
      <c r="CD23" s="121"/>
      <c r="CE23" s="120"/>
      <c r="CF23" s="120"/>
      <c r="CG23" s="120"/>
      <c r="CH23" s="121"/>
      <c r="CI23" s="120"/>
      <c r="CJ23" s="120"/>
      <c r="CK23" s="120"/>
      <c r="CL23" s="121"/>
      <c r="CM23" s="120"/>
      <c r="CN23" s="120"/>
      <c r="CO23" s="120"/>
      <c r="CP23" s="121"/>
      <c r="CQ23" s="120"/>
      <c r="CR23" s="120"/>
      <c r="CS23" s="120"/>
      <c r="CT23" s="121"/>
      <c r="CU23" s="120"/>
      <c r="CV23" s="120"/>
      <c r="CW23" s="122"/>
      <c r="CX23" s="119"/>
      <c r="CY23" s="122"/>
      <c r="CZ23" s="122"/>
      <c r="DA23" s="122"/>
      <c r="DB23" s="91"/>
      <c r="DC23" s="92"/>
      <c r="DD23" s="92"/>
      <c r="DE23" s="92"/>
      <c r="DF23" s="91"/>
      <c r="DG23" s="92"/>
      <c r="DH23" s="92"/>
      <c r="DI23" s="92"/>
      <c r="DJ23" s="91"/>
      <c r="DK23" s="92"/>
      <c r="DL23" s="92"/>
      <c r="DM23" s="92"/>
      <c r="DN23" s="91"/>
      <c r="DO23" s="92"/>
      <c r="DP23" s="88"/>
      <c r="EN23" s="71" t="s">
        <v>96</v>
      </c>
      <c r="FK23" s="93"/>
      <c r="FN23" s="89"/>
      <c r="FO23" s="92"/>
      <c r="FP23" s="92"/>
      <c r="FQ23" s="92"/>
      <c r="FR23" s="91"/>
      <c r="FS23" s="92"/>
      <c r="FT23" s="92"/>
      <c r="FU23" s="92"/>
      <c r="FV23" s="91"/>
      <c r="FW23" s="92"/>
      <c r="FX23" s="92"/>
      <c r="FY23" s="92"/>
      <c r="FZ23" s="91"/>
      <c r="GB23" s="91"/>
      <c r="GC23" s="94"/>
    </row>
    <row r="24" spans="1:185" s="71" customFormat="1" ht="9.75" customHeight="1" thickBot="1" x14ac:dyDescent="0.25">
      <c r="A24" s="6">
        <v>213.3</v>
      </c>
      <c r="B24" s="107"/>
      <c r="C24" s="99"/>
      <c r="D24" s="101"/>
      <c r="E24" s="99"/>
      <c r="F24" s="99"/>
      <c r="G24" s="99"/>
      <c r="H24" s="99"/>
      <c r="I24" s="98"/>
      <c r="J24" s="99"/>
      <c r="K24" s="99"/>
      <c r="L24" s="99"/>
      <c r="M24" s="98"/>
      <c r="N24" s="99"/>
      <c r="O24" s="98"/>
      <c r="P24" s="99"/>
      <c r="Q24" s="99"/>
      <c r="R24" s="110"/>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12"/>
      <c r="AX24" s="99"/>
      <c r="AY24" s="99"/>
      <c r="AZ24" s="99"/>
      <c r="BA24" s="98"/>
      <c r="BB24" s="99"/>
      <c r="BC24" s="99"/>
      <c r="BD24" s="99"/>
      <c r="BE24" s="98"/>
      <c r="BF24" s="99"/>
      <c r="BG24" s="99"/>
      <c r="BH24" s="99"/>
      <c r="BI24" s="98"/>
      <c r="BJ24" s="99"/>
      <c r="BK24" s="99"/>
      <c r="BL24" s="99"/>
      <c r="BM24" s="98"/>
      <c r="BN24" s="102"/>
      <c r="BO24" s="102"/>
      <c r="BP24" s="102"/>
      <c r="BQ24" s="110"/>
      <c r="BR24" s="105"/>
      <c r="BS24" s="105"/>
      <c r="BT24" s="105"/>
      <c r="BU24" s="105"/>
      <c r="BV24" s="105"/>
      <c r="BW24" s="105"/>
      <c r="BX24" s="105"/>
      <c r="BY24" s="105"/>
      <c r="BZ24" s="105"/>
      <c r="CA24" s="105"/>
      <c r="CB24" s="105"/>
      <c r="CC24" s="105"/>
      <c r="CD24" s="105"/>
      <c r="CE24" s="105"/>
      <c r="CF24" s="105"/>
      <c r="CG24" s="105"/>
      <c r="CH24" s="105"/>
      <c r="CI24" s="105"/>
      <c r="CJ24" s="105"/>
      <c r="CK24" s="105"/>
      <c r="CL24" s="105"/>
      <c r="CM24" s="105"/>
      <c r="CN24" s="105"/>
      <c r="CO24" s="105"/>
      <c r="CP24" s="105"/>
      <c r="CQ24" s="105"/>
      <c r="CR24" s="105"/>
      <c r="CS24" s="105"/>
      <c r="CT24" s="105"/>
      <c r="CU24" s="105"/>
      <c r="CV24" s="112"/>
      <c r="CW24" s="99"/>
      <c r="CX24" s="99"/>
      <c r="CY24" s="99"/>
      <c r="CZ24" s="99"/>
      <c r="DA24" s="98"/>
      <c r="DB24" s="99"/>
      <c r="DC24" s="99"/>
      <c r="DD24" s="99"/>
      <c r="DE24" s="98"/>
      <c r="DF24" s="99"/>
      <c r="DG24" s="99"/>
      <c r="DH24" s="99"/>
      <c r="DI24" s="98"/>
      <c r="DJ24" s="99"/>
      <c r="DK24" s="99"/>
      <c r="DL24" s="99"/>
      <c r="DM24" s="98"/>
      <c r="DN24" s="99"/>
      <c r="DO24" s="99"/>
      <c r="DP24" s="88"/>
      <c r="EN24" s="71" t="s">
        <v>92</v>
      </c>
      <c r="FK24" s="93"/>
      <c r="FL24" s="99"/>
      <c r="FM24" s="99"/>
      <c r="FN24" s="101"/>
      <c r="FO24" s="99"/>
      <c r="FP24" s="99"/>
      <c r="FQ24" s="98"/>
      <c r="FR24" s="99"/>
      <c r="FS24" s="99"/>
      <c r="FT24" s="99"/>
      <c r="FU24" s="98"/>
      <c r="FV24" s="99"/>
      <c r="FW24" s="99"/>
      <c r="FX24" s="99"/>
      <c r="FY24" s="98"/>
      <c r="FZ24" s="99"/>
      <c r="GA24" s="98"/>
      <c r="GB24" s="92"/>
      <c r="GC24" s="94"/>
    </row>
    <row r="25" spans="1:185" s="71" customFormat="1" ht="9.75" customHeight="1" thickBot="1" x14ac:dyDescent="0.25">
      <c r="A25" s="6">
        <v>206.7</v>
      </c>
      <c r="B25" s="103"/>
      <c r="C25" s="95"/>
      <c r="H25" s="91"/>
      <c r="I25" s="92"/>
      <c r="J25" s="92"/>
      <c r="K25" s="92"/>
      <c r="L25" s="91"/>
      <c r="M25" s="92"/>
      <c r="N25" s="92"/>
      <c r="P25" s="89"/>
      <c r="R25" s="88"/>
      <c r="AH25" s="114" t="s">
        <v>81</v>
      </c>
      <c r="AW25" s="93"/>
      <c r="AX25" s="92"/>
      <c r="AY25" s="92"/>
      <c r="AZ25" s="91"/>
      <c r="BA25" s="92"/>
      <c r="BB25" s="92"/>
      <c r="BC25" s="92"/>
      <c r="BD25" s="91"/>
      <c r="BE25" s="92"/>
      <c r="BF25" s="92"/>
      <c r="BG25" s="92"/>
      <c r="BH25" s="91"/>
      <c r="BI25" s="92"/>
      <c r="BJ25" s="92"/>
      <c r="BK25" s="92"/>
      <c r="BL25" s="91"/>
      <c r="BM25" s="92"/>
      <c r="BN25" s="98"/>
      <c r="BO25" s="99"/>
      <c r="BP25" s="99"/>
      <c r="BQ25" s="88"/>
      <c r="CF25" s="114" t="s">
        <v>86</v>
      </c>
      <c r="CV25" s="93"/>
      <c r="CW25" s="92"/>
      <c r="CX25" s="92"/>
      <c r="CY25" s="92"/>
      <c r="CZ25" s="91"/>
      <c r="DA25" s="92"/>
      <c r="DB25" s="92"/>
      <c r="DC25" s="92"/>
      <c r="DD25" s="91"/>
      <c r="DE25" s="92"/>
      <c r="DF25" s="92"/>
      <c r="DG25" s="92"/>
      <c r="DH25" s="91"/>
      <c r="DI25" s="92"/>
      <c r="DJ25" s="92"/>
      <c r="DK25" s="92"/>
      <c r="DL25" s="91"/>
      <c r="DM25" s="92"/>
      <c r="DN25" s="92"/>
      <c r="DO25" s="92"/>
      <c r="DP25" s="88"/>
      <c r="EN25" s="71" t="s">
        <v>93</v>
      </c>
      <c r="FK25" s="93"/>
      <c r="FO25" s="92"/>
      <c r="FP25" s="91"/>
      <c r="FQ25" s="92"/>
      <c r="FR25" s="92"/>
      <c r="FS25" s="92"/>
      <c r="FT25" s="91"/>
      <c r="FU25" s="92"/>
      <c r="FV25" s="92"/>
      <c r="FW25" s="92"/>
      <c r="FX25" s="91"/>
      <c r="FY25" s="92"/>
      <c r="FZ25" s="92"/>
      <c r="GB25" s="89"/>
      <c r="GC25" s="93"/>
    </row>
    <row r="26" spans="1:185" s="71" customFormat="1" ht="9.75" customHeight="1" thickBot="1" x14ac:dyDescent="0.25">
      <c r="A26" s="6">
        <v>200</v>
      </c>
      <c r="B26" s="103"/>
      <c r="C26" s="92"/>
      <c r="D26" s="101"/>
      <c r="E26" s="99"/>
      <c r="F26" s="99"/>
      <c r="G26" s="99"/>
      <c r="H26" s="92"/>
      <c r="I26" s="91"/>
      <c r="J26" s="92"/>
      <c r="K26" s="92"/>
      <c r="L26" s="92"/>
      <c r="M26" s="91"/>
      <c r="N26" s="92"/>
      <c r="O26" s="98"/>
      <c r="P26" s="99"/>
      <c r="Q26" s="99"/>
      <c r="R26" s="88"/>
      <c r="AH26" s="71" t="s">
        <v>90</v>
      </c>
      <c r="AW26" s="93"/>
      <c r="AX26" s="92"/>
      <c r="AY26" s="92"/>
      <c r="AZ26" s="92"/>
      <c r="BA26" s="91"/>
      <c r="BB26" s="92"/>
      <c r="BC26" s="92"/>
      <c r="BD26" s="92"/>
      <c r="BE26" s="91"/>
      <c r="BF26" s="92"/>
      <c r="BG26" s="92"/>
      <c r="BH26" s="92"/>
      <c r="BI26" s="91"/>
      <c r="BJ26" s="92"/>
      <c r="BK26" s="92"/>
      <c r="BL26" s="92"/>
      <c r="BM26" s="91"/>
      <c r="BN26" s="92"/>
      <c r="BO26" s="92"/>
      <c r="BP26" s="92"/>
      <c r="BQ26" s="88"/>
      <c r="CF26" s="71" t="s">
        <v>88</v>
      </c>
      <c r="CV26" s="93"/>
      <c r="CZ26" s="92"/>
      <c r="DA26" s="91"/>
      <c r="DB26" s="92"/>
      <c r="DC26" s="92"/>
      <c r="DD26" s="92"/>
      <c r="DE26" s="91"/>
      <c r="DF26" s="92"/>
      <c r="DG26" s="92"/>
      <c r="DH26" s="92"/>
      <c r="DI26" s="91"/>
      <c r="DJ26" s="92"/>
      <c r="DK26" s="92"/>
      <c r="DL26" s="92"/>
      <c r="DM26" s="91"/>
      <c r="DN26" s="92"/>
      <c r="DO26" s="92"/>
      <c r="DP26" s="88"/>
      <c r="FK26" s="93"/>
      <c r="FL26" s="99"/>
      <c r="FM26" s="99"/>
      <c r="FN26" s="101"/>
      <c r="FO26" s="92"/>
      <c r="FP26" s="92"/>
      <c r="FQ26" s="91"/>
      <c r="FR26" s="92"/>
      <c r="FS26" s="92"/>
      <c r="FT26" s="92"/>
      <c r="FU26" s="91"/>
      <c r="FV26" s="92"/>
      <c r="FW26" s="92"/>
      <c r="FX26" s="92"/>
      <c r="FY26" s="91"/>
      <c r="FZ26" s="92"/>
      <c r="GA26" s="98"/>
      <c r="GB26" s="99"/>
      <c r="GC26" s="100"/>
    </row>
    <row r="27" spans="1:185" s="71" customFormat="1" ht="9.75" customHeight="1" thickBot="1" x14ac:dyDescent="0.25">
      <c r="A27" s="6">
        <v>193.3</v>
      </c>
      <c r="B27" s="103"/>
      <c r="C27" s="95"/>
      <c r="D27" s="92"/>
      <c r="E27" s="92"/>
      <c r="F27" s="91"/>
      <c r="G27" s="92"/>
      <c r="H27" s="92"/>
      <c r="I27" s="92"/>
      <c r="J27" s="91"/>
      <c r="K27" s="92"/>
      <c r="L27" s="92"/>
      <c r="M27" s="92"/>
      <c r="N27" s="91"/>
      <c r="R27" s="88"/>
      <c r="AH27" s="71" t="s">
        <v>89</v>
      </c>
      <c r="AW27" s="93"/>
      <c r="AX27" s="92"/>
      <c r="AY27" s="92"/>
      <c r="AZ27" s="92"/>
      <c r="BA27" s="92"/>
      <c r="BB27" s="91"/>
      <c r="BC27" s="92"/>
      <c r="BD27" s="92"/>
      <c r="BE27" s="92"/>
      <c r="BF27" s="91"/>
      <c r="BG27" s="92"/>
      <c r="BH27" s="92"/>
      <c r="BI27" s="92"/>
      <c r="BJ27" s="91"/>
      <c r="BK27" s="92"/>
      <c r="BL27" s="92"/>
      <c r="BM27" s="92"/>
      <c r="BN27" s="91"/>
      <c r="BO27" s="92"/>
      <c r="BP27" s="92"/>
      <c r="BQ27" s="88"/>
      <c r="CF27" s="71" t="s">
        <v>89</v>
      </c>
      <c r="CV27" s="93"/>
      <c r="CW27" s="99"/>
      <c r="CX27" s="99"/>
      <c r="CY27" s="101"/>
      <c r="CZ27" s="92"/>
      <c r="DA27" s="92"/>
      <c r="DB27" s="91"/>
      <c r="DC27" s="92"/>
      <c r="DD27" s="92"/>
      <c r="DE27" s="92"/>
      <c r="DF27" s="91"/>
      <c r="DG27" s="92"/>
      <c r="DH27" s="92"/>
      <c r="DI27" s="92"/>
      <c r="DJ27" s="91"/>
      <c r="DK27" s="92"/>
      <c r="DL27" s="92"/>
      <c r="DM27" s="92"/>
      <c r="DN27" s="91"/>
      <c r="DO27" s="92"/>
      <c r="DP27" s="88"/>
      <c r="FK27" s="93"/>
      <c r="FN27" s="89"/>
      <c r="FO27" s="92"/>
      <c r="FP27" s="92"/>
      <c r="FQ27" s="92"/>
      <c r="FR27" s="91"/>
      <c r="FS27" s="92"/>
      <c r="FT27" s="92"/>
      <c r="FU27" s="92"/>
      <c r="FV27" s="91"/>
      <c r="FW27" s="92"/>
      <c r="FX27" s="92"/>
      <c r="FY27" s="92"/>
      <c r="FZ27" s="91"/>
      <c r="GB27" s="91"/>
      <c r="GC27" s="94"/>
    </row>
    <row r="28" spans="1:185" s="71" customFormat="1" ht="9.75" customHeight="1" thickBot="1" x14ac:dyDescent="0.25">
      <c r="A28" s="6">
        <v>186.7</v>
      </c>
      <c r="B28" s="107"/>
      <c r="C28" s="99"/>
      <c r="D28" s="101"/>
      <c r="E28" s="99"/>
      <c r="F28" s="99"/>
      <c r="G28" s="99"/>
      <c r="H28" s="99"/>
      <c r="I28" s="98"/>
      <c r="J28" s="99"/>
      <c r="K28" s="99"/>
      <c r="L28" s="99"/>
      <c r="M28" s="98"/>
      <c r="N28" s="99"/>
      <c r="O28" s="98"/>
      <c r="P28" s="99"/>
      <c r="Q28" s="99"/>
      <c r="R28" s="88"/>
      <c r="AH28" s="71" t="s">
        <v>82</v>
      </c>
      <c r="AW28" s="93"/>
      <c r="AX28" s="99"/>
      <c r="AY28" s="99"/>
      <c r="AZ28" s="99"/>
      <c r="BA28" s="98"/>
      <c r="BB28" s="99"/>
      <c r="BC28" s="99"/>
      <c r="BD28" s="99"/>
      <c r="BE28" s="98"/>
      <c r="BF28" s="99"/>
      <c r="BG28" s="99"/>
      <c r="BH28" s="99"/>
      <c r="BI28" s="98"/>
      <c r="BJ28" s="99"/>
      <c r="BK28" s="99"/>
      <c r="BL28" s="99"/>
      <c r="BM28" s="98"/>
      <c r="BN28" s="102"/>
      <c r="BO28" s="102"/>
      <c r="BP28" s="102"/>
      <c r="BQ28" s="88"/>
      <c r="CF28" s="71" t="s">
        <v>82</v>
      </c>
      <c r="CV28" s="93"/>
      <c r="CW28" s="92"/>
      <c r="CX28" s="92"/>
      <c r="CY28" s="92"/>
      <c r="CZ28" s="99"/>
      <c r="DA28" s="98"/>
      <c r="DB28" s="99"/>
      <c r="DC28" s="99"/>
      <c r="DD28" s="99"/>
      <c r="DE28" s="98"/>
      <c r="DF28" s="99"/>
      <c r="DG28" s="99"/>
      <c r="DH28" s="99"/>
      <c r="DI28" s="98"/>
      <c r="DJ28" s="99"/>
      <c r="DK28" s="99"/>
      <c r="DL28" s="99"/>
      <c r="DM28" s="98"/>
      <c r="DN28" s="99"/>
      <c r="DO28" s="99"/>
      <c r="DP28" s="88"/>
      <c r="FK28" s="93"/>
      <c r="FL28" s="99"/>
      <c r="FM28" s="99"/>
      <c r="FN28" s="101"/>
      <c r="FO28" s="99"/>
      <c r="FP28" s="99"/>
      <c r="FQ28" s="98"/>
      <c r="FR28" s="99"/>
      <c r="FS28" s="99"/>
      <c r="FT28" s="99"/>
      <c r="FU28" s="98"/>
      <c r="FV28" s="99"/>
      <c r="FW28" s="99"/>
      <c r="FX28" s="99"/>
      <c r="FY28" s="98"/>
      <c r="FZ28" s="99"/>
      <c r="GA28" s="98"/>
      <c r="GB28" s="92"/>
      <c r="GC28" s="94"/>
    </row>
    <row r="29" spans="1:185" s="71" customFormat="1" ht="9.75" customHeight="1" thickBot="1" x14ac:dyDescent="0.25">
      <c r="A29" s="6">
        <v>180</v>
      </c>
      <c r="B29" s="103"/>
      <c r="C29" s="95"/>
      <c r="H29" s="91"/>
      <c r="I29" s="92"/>
      <c r="J29" s="92"/>
      <c r="K29" s="92"/>
      <c r="L29" s="91"/>
      <c r="M29" s="92"/>
      <c r="N29" s="92"/>
      <c r="P29" s="89"/>
      <c r="R29" s="88"/>
      <c r="AW29" s="93"/>
      <c r="AX29" s="92"/>
      <c r="AY29" s="92"/>
      <c r="AZ29" s="91"/>
      <c r="BA29" s="92"/>
      <c r="BB29" s="92"/>
      <c r="BC29" s="92"/>
      <c r="BD29" s="91"/>
      <c r="BE29" s="92"/>
      <c r="BF29" s="92"/>
      <c r="BG29" s="92"/>
      <c r="BH29" s="91"/>
      <c r="BI29" s="92"/>
      <c r="BJ29" s="92"/>
      <c r="BK29" s="92"/>
      <c r="BL29" s="91"/>
      <c r="BM29" s="92"/>
      <c r="BN29" s="98"/>
      <c r="BO29" s="99"/>
      <c r="BP29" s="99"/>
      <c r="BQ29" s="88"/>
      <c r="CV29" s="93"/>
      <c r="CW29" s="92"/>
      <c r="CX29" s="92"/>
      <c r="CY29" s="92"/>
      <c r="CZ29" s="91"/>
      <c r="DA29" s="92"/>
      <c r="DB29" s="92"/>
      <c r="DC29" s="92"/>
      <c r="DD29" s="91"/>
      <c r="DE29" s="92"/>
      <c r="DF29" s="92"/>
      <c r="DG29" s="92"/>
      <c r="DH29" s="91"/>
      <c r="DI29" s="92"/>
      <c r="DJ29" s="92"/>
      <c r="DK29" s="92"/>
      <c r="DL29" s="91"/>
      <c r="DM29" s="92"/>
      <c r="DN29" s="92"/>
      <c r="DO29" s="92"/>
      <c r="DP29" s="88"/>
      <c r="FK29" s="93"/>
      <c r="FO29" s="92"/>
      <c r="FP29" s="91"/>
      <c r="FQ29" s="92"/>
      <c r="FR29" s="92"/>
      <c r="FS29" s="92"/>
      <c r="FT29" s="91"/>
      <c r="FU29" s="92"/>
      <c r="FV29" s="92"/>
      <c r="FW29" s="92"/>
      <c r="FX29" s="91"/>
      <c r="FY29" s="92"/>
      <c r="FZ29" s="92"/>
      <c r="GB29" s="89"/>
      <c r="GC29" s="93"/>
    </row>
    <row r="30" spans="1:185" s="71" customFormat="1" ht="9.75" customHeight="1" thickBot="1" x14ac:dyDescent="0.25">
      <c r="A30" s="6">
        <v>173.3</v>
      </c>
      <c r="B30" s="103"/>
      <c r="C30" s="92"/>
      <c r="D30" s="101"/>
      <c r="E30" s="99"/>
      <c r="F30" s="99"/>
      <c r="G30" s="99"/>
      <c r="H30" s="92"/>
      <c r="I30" s="91"/>
      <c r="J30" s="92"/>
      <c r="K30" s="92"/>
      <c r="L30" s="92"/>
      <c r="M30" s="91"/>
      <c r="N30" s="92"/>
      <c r="O30" s="98"/>
      <c r="P30" s="99"/>
      <c r="Q30" s="99"/>
      <c r="R30" s="88"/>
      <c r="AW30" s="93"/>
      <c r="AX30" s="92"/>
      <c r="AY30" s="92"/>
      <c r="AZ30" s="92"/>
      <c r="BA30" s="91"/>
      <c r="BB30" s="92"/>
      <c r="BC30" s="92"/>
      <c r="BD30" s="92"/>
      <c r="BE30" s="91"/>
      <c r="BF30" s="92"/>
      <c r="BG30" s="92"/>
      <c r="BH30" s="92"/>
      <c r="BI30" s="91"/>
      <c r="BJ30" s="92"/>
      <c r="BK30" s="92"/>
      <c r="BL30" s="92"/>
      <c r="BM30" s="91"/>
      <c r="BN30" s="92"/>
      <c r="BO30" s="92"/>
      <c r="BP30" s="92"/>
      <c r="BQ30" s="88"/>
      <c r="CV30" s="93"/>
      <c r="CZ30" s="92"/>
      <c r="DA30" s="91"/>
      <c r="DB30" s="92"/>
      <c r="DC30" s="92"/>
      <c r="DD30" s="92"/>
      <c r="DE30" s="91"/>
      <c r="DF30" s="92"/>
      <c r="DG30" s="92"/>
      <c r="DH30" s="92"/>
      <c r="DI30" s="91"/>
      <c r="DJ30" s="92"/>
      <c r="DK30" s="92"/>
      <c r="DL30" s="92"/>
      <c r="DM30" s="91"/>
      <c r="DN30" s="92"/>
      <c r="DO30" s="92"/>
      <c r="DP30" s="88"/>
      <c r="FK30" s="93"/>
      <c r="FL30" s="99"/>
      <c r="FM30" s="99"/>
      <c r="FN30" s="101"/>
      <c r="FO30" s="92"/>
      <c r="FP30" s="92"/>
      <c r="FQ30" s="91"/>
      <c r="FR30" s="92"/>
      <c r="FS30" s="92"/>
      <c r="FT30" s="92"/>
      <c r="FU30" s="91"/>
      <c r="FV30" s="92"/>
      <c r="FW30" s="92"/>
      <c r="FX30" s="92"/>
      <c r="FY30" s="91"/>
      <c r="FZ30" s="92"/>
      <c r="GA30" s="98"/>
      <c r="GB30" s="99"/>
      <c r="GC30" s="100"/>
    </row>
    <row r="31" spans="1:185" s="71" customFormat="1" ht="9.75" customHeight="1" thickBot="1" x14ac:dyDescent="0.25">
      <c r="A31" s="6">
        <v>166.7</v>
      </c>
      <c r="B31" s="103"/>
      <c r="C31" s="95"/>
      <c r="D31" s="92"/>
      <c r="E31" s="92"/>
      <c r="F31" s="91"/>
      <c r="G31" s="92"/>
      <c r="H31" s="92"/>
      <c r="I31" s="92"/>
      <c r="J31" s="91"/>
      <c r="K31" s="92"/>
      <c r="L31" s="92"/>
      <c r="M31" s="92"/>
      <c r="N31" s="91"/>
      <c r="R31" s="88"/>
      <c r="AW31" s="93"/>
      <c r="AX31" s="92"/>
      <c r="AY31" s="92"/>
      <c r="AZ31" s="92"/>
      <c r="BA31" s="92"/>
      <c r="BB31" s="91"/>
      <c r="BC31" s="92"/>
      <c r="BD31" s="92"/>
      <c r="BE31" s="92"/>
      <c r="BF31" s="91"/>
      <c r="BG31" s="92"/>
      <c r="BH31" s="92"/>
      <c r="BI31" s="92"/>
      <c r="BJ31" s="91"/>
      <c r="BK31" s="92"/>
      <c r="BL31" s="92"/>
      <c r="BM31" s="92"/>
      <c r="BN31" s="91"/>
      <c r="BO31" s="92"/>
      <c r="BP31" s="92"/>
      <c r="BQ31" s="88"/>
      <c r="CV31" s="93"/>
      <c r="CW31" s="99"/>
      <c r="CX31" s="99"/>
      <c r="CY31" s="101"/>
      <c r="CZ31" s="92"/>
      <c r="DA31" s="92"/>
      <c r="DB31" s="91"/>
      <c r="DC31" s="92"/>
      <c r="DD31" s="92"/>
      <c r="DE31" s="92"/>
      <c r="DF31" s="91"/>
      <c r="DG31" s="92"/>
      <c r="DH31" s="92"/>
      <c r="DI31" s="92"/>
      <c r="DJ31" s="91"/>
      <c r="DK31" s="92"/>
      <c r="DL31" s="92"/>
      <c r="DM31" s="92"/>
      <c r="DN31" s="91"/>
      <c r="DO31" s="92"/>
      <c r="DP31" s="88"/>
      <c r="FK31" s="93"/>
      <c r="FN31" s="89"/>
      <c r="FO31" s="92"/>
      <c r="FP31" s="92"/>
      <c r="FQ31" s="92"/>
      <c r="FR31" s="91"/>
      <c r="FS31" s="92"/>
      <c r="FT31" s="92"/>
      <c r="FU31" s="92"/>
      <c r="FV31" s="91"/>
      <c r="FW31" s="92"/>
      <c r="FX31" s="92"/>
      <c r="FY31" s="92"/>
      <c r="FZ31" s="91"/>
      <c r="GB31" s="91"/>
      <c r="GC31" s="94"/>
    </row>
    <row r="32" spans="1:185" s="71" customFormat="1" ht="9.75" customHeight="1" thickBot="1" x14ac:dyDescent="0.25">
      <c r="A32" s="6">
        <v>160</v>
      </c>
      <c r="B32" s="107"/>
      <c r="C32" s="99"/>
      <c r="D32" s="101"/>
      <c r="E32" s="99"/>
      <c r="F32" s="99"/>
      <c r="G32" s="99"/>
      <c r="H32" s="99"/>
      <c r="I32" s="98"/>
      <c r="J32" s="99"/>
      <c r="K32" s="99"/>
      <c r="L32" s="99"/>
      <c r="M32" s="98"/>
      <c r="N32" s="99"/>
      <c r="O32" s="98"/>
      <c r="P32" s="99"/>
      <c r="Q32" s="99"/>
      <c r="R32" s="88"/>
      <c r="AW32" s="93"/>
      <c r="AX32" s="99"/>
      <c r="AY32" s="99"/>
      <c r="AZ32" s="99"/>
      <c r="BA32" s="98"/>
      <c r="BB32" s="99"/>
      <c r="BC32" s="99"/>
      <c r="BD32" s="99"/>
      <c r="BE32" s="98"/>
      <c r="BF32" s="99"/>
      <c r="BG32" s="99"/>
      <c r="BH32" s="99"/>
      <c r="BI32" s="98"/>
      <c r="BJ32" s="99"/>
      <c r="BK32" s="99"/>
      <c r="BL32" s="99"/>
      <c r="BM32" s="98"/>
      <c r="BN32" s="102"/>
      <c r="BO32" s="102"/>
      <c r="BP32" s="102"/>
      <c r="BQ32" s="88"/>
      <c r="CV32" s="93"/>
      <c r="CW32" s="92"/>
      <c r="CX32" s="92"/>
      <c r="CY32" s="92"/>
      <c r="CZ32" s="99"/>
      <c r="DA32" s="98"/>
      <c r="DB32" s="99"/>
      <c r="DC32" s="99"/>
      <c r="DD32" s="99"/>
      <c r="DE32" s="98"/>
      <c r="DF32" s="99"/>
      <c r="DG32" s="99"/>
      <c r="DH32" s="99"/>
      <c r="DI32" s="98"/>
      <c r="DJ32" s="99"/>
      <c r="DK32" s="99"/>
      <c r="DL32" s="99"/>
      <c r="DM32" s="98"/>
      <c r="DN32" s="99"/>
      <c r="DO32" s="99"/>
      <c r="DP32" s="88"/>
      <c r="FK32" s="93"/>
      <c r="FL32" s="99"/>
      <c r="FM32" s="99"/>
      <c r="FN32" s="101"/>
      <c r="FO32" s="99"/>
      <c r="FP32" s="99"/>
      <c r="FQ32" s="98"/>
      <c r="FR32" s="99"/>
      <c r="FS32" s="99"/>
      <c r="FT32" s="99"/>
      <c r="FU32" s="98"/>
      <c r="FV32" s="99"/>
      <c r="FW32" s="99"/>
      <c r="FX32" s="99"/>
      <c r="FY32" s="98"/>
      <c r="FZ32" s="99"/>
      <c r="GA32" s="98"/>
      <c r="GB32" s="92"/>
      <c r="GC32" s="94"/>
    </row>
    <row r="33" spans="1:185" s="71" customFormat="1" ht="9.75" customHeight="1" thickBot="1" x14ac:dyDescent="0.25">
      <c r="A33" s="6">
        <v>153.30000000000001</v>
      </c>
      <c r="B33" s="103"/>
      <c r="C33" s="95"/>
      <c r="H33" s="91"/>
      <c r="I33" s="92"/>
      <c r="J33" s="92"/>
      <c r="K33" s="92"/>
      <c r="L33" s="91"/>
      <c r="M33" s="92"/>
      <c r="N33" s="92"/>
      <c r="P33" s="89"/>
      <c r="R33" s="88"/>
      <c r="AW33" s="93"/>
      <c r="AX33" s="92"/>
      <c r="AY33" s="92"/>
      <c r="AZ33" s="91"/>
      <c r="BA33" s="92"/>
      <c r="BB33" s="92"/>
      <c r="BC33" s="92"/>
      <c r="BD33" s="91"/>
      <c r="BE33" s="92"/>
      <c r="BF33" s="92"/>
      <c r="BG33" s="92"/>
      <c r="BH33" s="91"/>
      <c r="BI33" s="92"/>
      <c r="BJ33" s="92"/>
      <c r="BK33" s="92"/>
      <c r="BL33" s="91"/>
      <c r="BM33" s="92"/>
      <c r="BN33" s="98"/>
      <c r="BO33" s="99"/>
      <c r="BP33" s="99"/>
      <c r="BQ33" s="88"/>
      <c r="CV33" s="93"/>
      <c r="CW33" s="92"/>
      <c r="CX33" s="92"/>
      <c r="CY33" s="92"/>
      <c r="CZ33" s="91"/>
      <c r="DA33" s="92"/>
      <c r="DB33" s="92"/>
      <c r="DC33" s="92"/>
      <c r="DD33" s="91"/>
      <c r="DE33" s="92"/>
      <c r="DF33" s="92"/>
      <c r="DG33" s="92"/>
      <c r="DH33" s="91"/>
      <c r="DI33" s="92"/>
      <c r="DJ33" s="92"/>
      <c r="DK33" s="92"/>
      <c r="DL33" s="91"/>
      <c r="DM33" s="92"/>
      <c r="DN33" s="92"/>
      <c r="DO33" s="92"/>
      <c r="DP33" s="88"/>
      <c r="FK33" s="93"/>
      <c r="FO33" s="92"/>
      <c r="FP33" s="91"/>
      <c r="FQ33" s="92"/>
      <c r="FR33" s="92"/>
      <c r="FS33" s="92"/>
      <c r="FT33" s="91"/>
      <c r="FU33" s="92"/>
      <c r="FV33" s="92"/>
      <c r="FW33" s="92"/>
      <c r="FX33" s="91"/>
      <c r="FY33" s="92"/>
      <c r="FZ33" s="92"/>
      <c r="GB33" s="89"/>
      <c r="GC33" s="93"/>
    </row>
    <row r="34" spans="1:185" s="71" customFormat="1" ht="9.75" customHeight="1" thickBot="1" x14ac:dyDescent="0.25">
      <c r="A34" s="6">
        <v>146.69999999999999</v>
      </c>
      <c r="B34" s="103"/>
      <c r="C34" s="92"/>
      <c r="D34" s="101"/>
      <c r="E34" s="99"/>
      <c r="F34" s="99"/>
      <c r="G34" s="99"/>
      <c r="H34" s="92"/>
      <c r="I34" s="91"/>
      <c r="J34" s="92"/>
      <c r="K34" s="92"/>
      <c r="L34" s="92"/>
      <c r="M34" s="91"/>
      <c r="N34" s="92"/>
      <c r="O34" s="98"/>
      <c r="P34" s="99"/>
      <c r="Q34" s="99"/>
      <c r="R34" s="88"/>
      <c r="AW34" s="93"/>
      <c r="AX34" s="92"/>
      <c r="AY34" s="92"/>
      <c r="AZ34" s="92"/>
      <c r="BA34" s="91"/>
      <c r="BB34" s="92"/>
      <c r="BC34" s="92"/>
      <c r="BD34" s="92"/>
      <c r="BE34" s="91"/>
      <c r="BF34" s="92"/>
      <c r="BG34" s="92"/>
      <c r="BH34" s="92"/>
      <c r="BI34" s="91"/>
      <c r="BJ34" s="92"/>
      <c r="BK34" s="92"/>
      <c r="BL34" s="92"/>
      <c r="BM34" s="91"/>
      <c r="BN34" s="92"/>
      <c r="BO34" s="92"/>
      <c r="BP34" s="92"/>
      <c r="BQ34" s="88"/>
      <c r="CV34" s="93"/>
      <c r="CZ34" s="92"/>
      <c r="DA34" s="91"/>
      <c r="DB34" s="92"/>
      <c r="DC34" s="92"/>
      <c r="DD34" s="92"/>
      <c r="DE34" s="91"/>
      <c r="DF34" s="92"/>
      <c r="DG34" s="92"/>
      <c r="DH34" s="92"/>
      <c r="DI34" s="91"/>
      <c r="DJ34" s="92"/>
      <c r="DK34" s="92"/>
      <c r="DL34" s="92"/>
      <c r="DM34" s="91"/>
      <c r="DN34" s="92"/>
      <c r="DO34" s="92"/>
      <c r="DP34" s="88"/>
      <c r="FK34" s="93"/>
      <c r="FL34" s="99"/>
      <c r="FM34" s="99"/>
      <c r="FN34" s="101"/>
      <c r="FO34" s="92"/>
      <c r="FP34" s="92"/>
      <c r="FQ34" s="91"/>
      <c r="FR34" s="92"/>
      <c r="FS34" s="92"/>
      <c r="FT34" s="92"/>
      <c r="FU34" s="91"/>
      <c r="FV34" s="92"/>
      <c r="FW34" s="92"/>
      <c r="FX34" s="92"/>
      <c r="FY34" s="91"/>
      <c r="FZ34" s="92"/>
      <c r="GA34" s="98"/>
      <c r="GB34" s="99"/>
      <c r="GC34" s="100"/>
    </row>
    <row r="35" spans="1:185" s="71" customFormat="1" ht="9.75" customHeight="1" thickBot="1" x14ac:dyDescent="0.25">
      <c r="A35" s="6">
        <v>140</v>
      </c>
      <c r="B35" s="103"/>
      <c r="C35" s="95"/>
      <c r="D35" s="92"/>
      <c r="E35" s="92"/>
      <c r="F35" s="91"/>
      <c r="G35" s="92"/>
      <c r="H35" s="92"/>
      <c r="I35" s="92"/>
      <c r="J35" s="91"/>
      <c r="K35" s="92"/>
      <c r="L35" s="92"/>
      <c r="M35" s="92"/>
      <c r="N35" s="91"/>
      <c r="R35" s="88"/>
      <c r="AW35" s="93"/>
      <c r="AX35" s="92"/>
      <c r="AY35" s="92"/>
      <c r="AZ35" s="92"/>
      <c r="BA35" s="92"/>
      <c r="BB35" s="91"/>
      <c r="BC35" s="92"/>
      <c r="BD35" s="92"/>
      <c r="BE35" s="92"/>
      <c r="BF35" s="91"/>
      <c r="BG35" s="92"/>
      <c r="BH35" s="92"/>
      <c r="BI35" s="92"/>
      <c r="BJ35" s="91"/>
      <c r="BK35" s="92"/>
      <c r="BL35" s="92"/>
      <c r="BM35" s="92"/>
      <c r="BN35" s="91"/>
      <c r="BO35" s="92"/>
      <c r="BP35" s="92"/>
      <c r="BQ35" s="88"/>
      <c r="CV35" s="93"/>
      <c r="CW35" s="99"/>
      <c r="CX35" s="99"/>
      <c r="CY35" s="101"/>
      <c r="CZ35" s="92"/>
      <c r="DA35" s="92"/>
      <c r="DB35" s="91"/>
      <c r="DC35" s="92"/>
      <c r="DD35" s="92"/>
      <c r="DE35" s="92"/>
      <c r="DF35" s="91"/>
      <c r="DG35" s="92"/>
      <c r="DH35" s="92"/>
      <c r="DI35" s="92"/>
      <c r="DJ35" s="91"/>
      <c r="DK35" s="92"/>
      <c r="DL35" s="92"/>
      <c r="DM35" s="92"/>
      <c r="DN35" s="91"/>
      <c r="DO35" s="92"/>
      <c r="DP35" s="88"/>
      <c r="FK35" s="93"/>
      <c r="FN35" s="89"/>
      <c r="FO35" s="92"/>
      <c r="FP35" s="92"/>
      <c r="FQ35" s="92"/>
      <c r="FR35" s="91"/>
      <c r="FS35" s="92"/>
      <c r="FT35" s="92"/>
      <c r="FU35" s="92"/>
      <c r="FV35" s="91"/>
      <c r="FW35" s="92"/>
      <c r="FX35" s="92"/>
      <c r="FY35" s="92"/>
      <c r="FZ35" s="91"/>
      <c r="GB35" s="91"/>
      <c r="GC35" s="94"/>
    </row>
    <row r="36" spans="1:185" s="71" customFormat="1" ht="9.75" customHeight="1" thickBot="1" x14ac:dyDescent="0.25">
      <c r="A36" s="6">
        <v>133.30000000000001</v>
      </c>
      <c r="B36" s="107"/>
      <c r="C36" s="99"/>
      <c r="D36" s="101"/>
      <c r="E36" s="99"/>
      <c r="F36" s="99"/>
      <c r="G36" s="99"/>
      <c r="H36" s="99"/>
      <c r="I36" s="98"/>
      <c r="J36" s="99"/>
      <c r="K36" s="99"/>
      <c r="L36" s="99"/>
      <c r="M36" s="98"/>
      <c r="N36" s="99"/>
      <c r="O36" s="98"/>
      <c r="P36" s="99"/>
      <c r="Q36" s="99"/>
      <c r="R36" s="88"/>
      <c r="AW36" s="93"/>
      <c r="AX36" s="99"/>
      <c r="AY36" s="99"/>
      <c r="AZ36" s="99"/>
      <c r="BA36" s="98"/>
      <c r="BB36" s="99"/>
      <c r="BC36" s="99"/>
      <c r="BD36" s="99"/>
      <c r="BE36" s="98"/>
      <c r="BF36" s="99"/>
      <c r="BG36" s="99"/>
      <c r="BH36" s="99"/>
      <c r="BI36" s="98"/>
      <c r="BJ36" s="99"/>
      <c r="BK36" s="99"/>
      <c r="BL36" s="99"/>
      <c r="BM36" s="98"/>
      <c r="BN36" s="102"/>
      <c r="BO36" s="102"/>
      <c r="BP36" s="102"/>
      <c r="BQ36" s="88"/>
      <c r="CV36" s="93"/>
      <c r="CW36" s="92"/>
      <c r="CX36" s="92"/>
      <c r="CY36" s="92"/>
      <c r="CZ36" s="99"/>
      <c r="DA36" s="98"/>
      <c r="DB36" s="99"/>
      <c r="DC36" s="99"/>
      <c r="DD36" s="99"/>
      <c r="DE36" s="98"/>
      <c r="DF36" s="99"/>
      <c r="DG36" s="99"/>
      <c r="DH36" s="99"/>
      <c r="DI36" s="98"/>
      <c r="DJ36" s="99"/>
      <c r="DK36" s="99"/>
      <c r="DL36" s="99"/>
      <c r="DM36" s="98"/>
      <c r="DN36" s="99"/>
      <c r="DO36" s="99"/>
      <c r="DP36" s="88"/>
      <c r="FK36" s="93"/>
      <c r="FL36" s="99"/>
      <c r="FM36" s="99"/>
      <c r="FN36" s="101"/>
      <c r="FO36" s="99"/>
      <c r="FP36" s="99"/>
      <c r="FQ36" s="98"/>
      <c r="FR36" s="99"/>
      <c r="FS36" s="99"/>
      <c r="FT36" s="99"/>
      <c r="FU36" s="98"/>
      <c r="FV36" s="99"/>
      <c r="FW36" s="99"/>
      <c r="FX36" s="99"/>
      <c r="FY36" s="98"/>
      <c r="FZ36" s="99"/>
      <c r="GA36" s="98"/>
      <c r="GB36" s="92"/>
      <c r="GC36" s="94"/>
    </row>
    <row r="37" spans="1:185" s="71" customFormat="1" ht="9.75" customHeight="1" thickBot="1" x14ac:dyDescent="0.25">
      <c r="A37" s="6">
        <v>126.7</v>
      </c>
      <c r="B37" s="103"/>
      <c r="C37" s="95"/>
      <c r="H37" s="91"/>
      <c r="I37" s="92"/>
      <c r="J37" s="92"/>
      <c r="K37" s="92"/>
      <c r="L37" s="91"/>
      <c r="M37" s="92"/>
      <c r="N37" s="92"/>
      <c r="P37" s="89"/>
      <c r="R37" s="88"/>
      <c r="AW37" s="93"/>
      <c r="AX37" s="92"/>
      <c r="AY37" s="92"/>
      <c r="AZ37" s="91"/>
      <c r="BA37" s="92"/>
      <c r="BB37" s="92"/>
      <c r="BC37" s="92"/>
      <c r="BD37" s="91"/>
      <c r="BE37" s="92"/>
      <c r="BF37" s="92"/>
      <c r="BG37" s="92"/>
      <c r="BH37" s="91"/>
      <c r="BI37" s="92"/>
      <c r="BJ37" s="92"/>
      <c r="BK37" s="92"/>
      <c r="BL37" s="91"/>
      <c r="BM37" s="92"/>
      <c r="BN37" s="98"/>
      <c r="BO37" s="99"/>
      <c r="BP37" s="99"/>
      <c r="BQ37" s="88"/>
      <c r="CV37" s="93"/>
      <c r="CW37" s="92"/>
      <c r="CX37" s="92"/>
      <c r="CY37" s="92"/>
      <c r="CZ37" s="91"/>
      <c r="DA37" s="92"/>
      <c r="DB37" s="92"/>
      <c r="DC37" s="92"/>
      <c r="DD37" s="91"/>
      <c r="DE37" s="92"/>
      <c r="DF37" s="92"/>
      <c r="DG37" s="92"/>
      <c r="DH37" s="91"/>
      <c r="DI37" s="92"/>
      <c r="DJ37" s="92"/>
      <c r="DK37" s="92"/>
      <c r="DL37" s="91"/>
      <c r="DM37" s="92"/>
      <c r="DN37" s="92"/>
      <c r="DO37" s="92"/>
      <c r="DP37" s="88"/>
      <c r="FK37" s="93"/>
      <c r="FO37" s="92"/>
      <c r="FP37" s="91"/>
      <c r="FQ37" s="92"/>
      <c r="FR37" s="92"/>
      <c r="FS37" s="92"/>
      <c r="FT37" s="91"/>
      <c r="FU37" s="92"/>
      <c r="FV37" s="92"/>
      <c r="FW37" s="92"/>
      <c r="FX37" s="91"/>
      <c r="FY37" s="92"/>
      <c r="FZ37" s="92"/>
      <c r="GB37" s="89"/>
      <c r="GC37" s="93"/>
    </row>
    <row r="38" spans="1:185" s="71" customFormat="1" ht="9.75" customHeight="1" thickBot="1" x14ac:dyDescent="0.25">
      <c r="A38" s="6">
        <v>120</v>
      </c>
      <c r="B38" s="103"/>
      <c r="C38" s="92"/>
      <c r="D38" s="101"/>
      <c r="E38" s="99"/>
      <c r="F38" s="99"/>
      <c r="G38" s="99"/>
      <c r="H38" s="92"/>
      <c r="I38" s="91"/>
      <c r="J38" s="92"/>
      <c r="K38" s="92"/>
      <c r="L38" s="92"/>
      <c r="M38" s="91"/>
      <c r="N38" s="92"/>
      <c r="O38" s="98"/>
      <c r="P38" s="99"/>
      <c r="Q38" s="99"/>
      <c r="R38" s="88"/>
      <c r="AW38" s="93"/>
      <c r="AX38" s="92"/>
      <c r="AY38" s="92"/>
      <c r="AZ38" s="92"/>
      <c r="BA38" s="91"/>
      <c r="BB38" s="92"/>
      <c r="BC38" s="92"/>
      <c r="BD38" s="92"/>
      <c r="BE38" s="91"/>
      <c r="BF38" s="92"/>
      <c r="BG38" s="92"/>
      <c r="BH38" s="92"/>
      <c r="BI38" s="91"/>
      <c r="BJ38" s="92"/>
      <c r="BK38" s="92"/>
      <c r="BL38" s="92"/>
      <c r="BM38" s="91"/>
      <c r="BN38" s="92"/>
      <c r="BO38" s="92"/>
      <c r="BP38" s="92"/>
      <c r="BQ38" s="88"/>
      <c r="CV38" s="93"/>
      <c r="CZ38" s="92"/>
      <c r="DA38" s="91"/>
      <c r="DB38" s="92"/>
      <c r="DC38" s="92"/>
      <c r="DD38" s="92"/>
      <c r="DE38" s="91"/>
      <c r="DF38" s="92"/>
      <c r="DG38" s="92"/>
      <c r="DH38" s="92"/>
      <c r="DI38" s="91"/>
      <c r="DJ38" s="92"/>
      <c r="DK38" s="92"/>
      <c r="DL38" s="92"/>
      <c r="DM38" s="91"/>
      <c r="DN38" s="92"/>
      <c r="DO38" s="92"/>
      <c r="DP38" s="88"/>
      <c r="FK38" s="93"/>
      <c r="FL38" s="99"/>
      <c r="FM38" s="99"/>
      <c r="FN38" s="101"/>
      <c r="FO38" s="92"/>
      <c r="FP38" s="92"/>
      <c r="FQ38" s="91"/>
      <c r="FR38" s="92"/>
      <c r="FS38" s="92"/>
      <c r="FT38" s="92"/>
      <c r="FU38" s="91"/>
      <c r="FV38" s="92"/>
      <c r="FW38" s="92"/>
      <c r="FX38" s="92"/>
      <c r="FY38" s="91"/>
      <c r="FZ38" s="92"/>
      <c r="GA38" s="98"/>
      <c r="GB38" s="99"/>
      <c r="GC38" s="100"/>
    </row>
    <row r="39" spans="1:185" s="71" customFormat="1" ht="9.75" customHeight="1" thickBot="1" x14ac:dyDescent="0.25">
      <c r="A39" s="6">
        <v>113.3</v>
      </c>
      <c r="B39" s="103"/>
      <c r="C39" s="95"/>
      <c r="D39" s="92"/>
      <c r="E39" s="92"/>
      <c r="F39" s="91"/>
      <c r="G39" s="92"/>
      <c r="H39" s="92"/>
      <c r="I39" s="92"/>
      <c r="J39" s="91"/>
      <c r="K39" s="92"/>
      <c r="L39" s="92"/>
      <c r="M39" s="92"/>
      <c r="N39" s="91"/>
      <c r="R39" s="88"/>
      <c r="AW39" s="93"/>
      <c r="AX39" s="92"/>
      <c r="AY39" s="92"/>
      <c r="AZ39" s="92"/>
      <c r="BA39" s="92"/>
      <c r="BB39" s="91"/>
      <c r="BC39" s="92"/>
      <c r="BD39" s="92"/>
      <c r="BE39" s="92"/>
      <c r="BF39" s="91"/>
      <c r="BG39" s="92"/>
      <c r="BH39" s="92"/>
      <c r="BI39" s="92"/>
      <c r="BJ39" s="91"/>
      <c r="BK39" s="92"/>
      <c r="BL39" s="92"/>
      <c r="BM39" s="92"/>
      <c r="BN39" s="91"/>
      <c r="BO39" s="92"/>
      <c r="BP39" s="92"/>
      <c r="BQ39" s="88"/>
      <c r="CV39" s="93"/>
      <c r="CW39" s="99"/>
      <c r="CX39" s="99"/>
      <c r="CY39" s="101"/>
      <c r="CZ39" s="92"/>
      <c r="DA39" s="92"/>
      <c r="DB39" s="91"/>
      <c r="DC39" s="92"/>
      <c r="DD39" s="92"/>
      <c r="DE39" s="92"/>
      <c r="DF39" s="91"/>
      <c r="DG39" s="92"/>
      <c r="DH39" s="92"/>
      <c r="DI39" s="92"/>
      <c r="DJ39" s="91"/>
      <c r="DK39" s="92"/>
      <c r="DL39" s="92"/>
      <c r="DM39" s="92"/>
      <c r="DN39" s="91"/>
      <c r="DO39" s="92"/>
      <c r="DP39" s="88"/>
      <c r="FK39" s="93"/>
      <c r="FN39" s="89"/>
      <c r="FO39" s="92"/>
      <c r="FP39" s="92"/>
      <c r="FQ39" s="92"/>
      <c r="FR39" s="91"/>
      <c r="FS39" s="92"/>
      <c r="FT39" s="92"/>
      <c r="FU39" s="92"/>
      <c r="FV39" s="91"/>
      <c r="FW39" s="92"/>
      <c r="FX39" s="92"/>
      <c r="FY39" s="92"/>
      <c r="FZ39" s="91"/>
      <c r="GB39" s="91"/>
      <c r="GC39" s="94"/>
    </row>
    <row r="40" spans="1:185" s="71" customFormat="1" ht="9.75" customHeight="1" thickBot="1" x14ac:dyDescent="0.25">
      <c r="A40" s="6">
        <v>106.7</v>
      </c>
      <c r="B40" s="107"/>
      <c r="C40" s="99"/>
      <c r="D40" s="101"/>
      <c r="E40" s="99"/>
      <c r="F40" s="99"/>
      <c r="G40" s="99"/>
      <c r="H40" s="99"/>
      <c r="I40" s="98"/>
      <c r="J40" s="99"/>
      <c r="K40" s="99"/>
      <c r="L40" s="99"/>
      <c r="M40" s="98"/>
      <c r="N40" s="99"/>
      <c r="O40" s="98"/>
      <c r="P40" s="99"/>
      <c r="Q40" s="99"/>
      <c r="R40" s="88"/>
      <c r="AW40" s="93"/>
      <c r="AX40" s="99"/>
      <c r="AY40" s="99"/>
      <c r="AZ40" s="99"/>
      <c r="BA40" s="98"/>
      <c r="BB40" s="99"/>
      <c r="BC40" s="99"/>
      <c r="BD40" s="99"/>
      <c r="BE40" s="98"/>
      <c r="BF40" s="99"/>
      <c r="BG40" s="99"/>
      <c r="BH40" s="99"/>
      <c r="BI40" s="98"/>
      <c r="BJ40" s="99"/>
      <c r="BK40" s="99"/>
      <c r="BL40" s="99"/>
      <c r="BM40" s="98"/>
      <c r="BN40" s="102"/>
      <c r="BO40" s="102"/>
      <c r="BP40" s="102"/>
      <c r="BQ40" s="88"/>
      <c r="CV40" s="93"/>
      <c r="CW40" s="92"/>
      <c r="CX40" s="92"/>
      <c r="CY40" s="92"/>
      <c r="CZ40" s="99"/>
      <c r="DA40" s="98"/>
      <c r="DB40" s="99"/>
      <c r="DC40" s="99"/>
      <c r="DD40" s="99"/>
      <c r="DE40" s="98"/>
      <c r="DF40" s="99"/>
      <c r="DG40" s="99"/>
      <c r="DH40" s="99"/>
      <c r="DI40" s="98"/>
      <c r="DJ40" s="99"/>
      <c r="DK40" s="99"/>
      <c r="DL40" s="99"/>
      <c r="DM40" s="98"/>
      <c r="DN40" s="99"/>
      <c r="DO40" s="99"/>
      <c r="DP40" s="88"/>
      <c r="FK40" s="93"/>
      <c r="FL40" s="99"/>
      <c r="FM40" s="99"/>
      <c r="FN40" s="101"/>
      <c r="FO40" s="99"/>
      <c r="FP40" s="99"/>
      <c r="FQ40" s="98"/>
      <c r="FR40" s="99"/>
      <c r="FS40" s="99"/>
      <c r="FT40" s="99"/>
      <c r="FU40" s="98"/>
      <c r="FV40" s="99"/>
      <c r="FW40" s="99"/>
      <c r="FX40" s="99"/>
      <c r="FY40" s="98"/>
      <c r="FZ40" s="99"/>
      <c r="GA40" s="98"/>
      <c r="GB40" s="92"/>
      <c r="GC40" s="94"/>
    </row>
    <row r="41" spans="1:185" s="71" customFormat="1" ht="9.75" customHeight="1" thickBot="1" x14ac:dyDescent="0.25">
      <c r="A41" s="6">
        <v>100</v>
      </c>
      <c r="B41" s="103"/>
      <c r="C41" s="95"/>
      <c r="H41" s="91"/>
      <c r="I41" s="92"/>
      <c r="J41" s="92"/>
      <c r="K41" s="92"/>
      <c r="L41" s="91"/>
      <c r="M41" s="92"/>
      <c r="N41" s="92"/>
      <c r="P41" s="89"/>
      <c r="R41" s="88"/>
      <c r="AW41" s="93"/>
      <c r="AX41" s="92"/>
      <c r="AY41" s="92"/>
      <c r="AZ41" s="91"/>
      <c r="BA41" s="92"/>
      <c r="BB41" s="92"/>
      <c r="BC41" s="92"/>
      <c r="BD41" s="91"/>
      <c r="BE41" s="92"/>
      <c r="BF41" s="92"/>
      <c r="BG41" s="92"/>
      <c r="BH41" s="91"/>
      <c r="BI41" s="92"/>
      <c r="BJ41" s="92"/>
      <c r="BK41" s="92"/>
      <c r="BL41" s="91"/>
      <c r="BM41" s="92"/>
      <c r="BN41" s="98"/>
      <c r="BO41" s="99"/>
      <c r="BP41" s="99"/>
      <c r="BQ41" s="88"/>
      <c r="CV41" s="93"/>
      <c r="CW41" s="92"/>
      <c r="CX41" s="92"/>
      <c r="CY41" s="92"/>
      <c r="CZ41" s="91"/>
      <c r="DA41" s="92"/>
      <c r="DB41" s="92"/>
      <c r="DC41" s="92"/>
      <c r="DD41" s="91"/>
      <c r="DE41" s="92"/>
      <c r="DF41" s="92"/>
      <c r="DG41" s="92"/>
      <c r="DH41" s="91"/>
      <c r="DI41" s="92"/>
      <c r="DJ41" s="92"/>
      <c r="DK41" s="92"/>
      <c r="DL41" s="91"/>
      <c r="DM41" s="92"/>
      <c r="DN41" s="92"/>
      <c r="DO41" s="92"/>
      <c r="DP41" s="88"/>
      <c r="FK41" s="93"/>
      <c r="FO41" s="92"/>
      <c r="FP41" s="91"/>
      <c r="FQ41" s="92"/>
      <c r="FR41" s="92"/>
      <c r="FS41" s="92"/>
      <c r="FT41" s="91"/>
      <c r="FU41" s="92"/>
      <c r="FV41" s="92"/>
      <c r="FW41" s="92"/>
      <c r="FX41" s="91"/>
      <c r="FY41" s="92"/>
      <c r="FZ41" s="92"/>
      <c r="GB41" s="89"/>
      <c r="GC41" s="93"/>
    </row>
    <row r="42" spans="1:185" s="71" customFormat="1" ht="9.75" customHeight="1" thickBot="1" x14ac:dyDescent="0.25">
      <c r="A42" s="6">
        <v>93.3</v>
      </c>
      <c r="B42" s="103"/>
      <c r="C42" s="92"/>
      <c r="D42" s="101"/>
      <c r="E42" s="99"/>
      <c r="F42" s="99"/>
      <c r="G42" s="99"/>
      <c r="H42" s="92"/>
      <c r="I42" s="91"/>
      <c r="J42" s="92"/>
      <c r="K42" s="92"/>
      <c r="L42" s="92"/>
      <c r="M42" s="91"/>
      <c r="N42" s="92"/>
      <c r="O42" s="98"/>
      <c r="P42" s="99"/>
      <c r="Q42" s="99"/>
      <c r="R42" s="88"/>
      <c r="AW42" s="93"/>
      <c r="AX42" s="92"/>
      <c r="AY42" s="92"/>
      <c r="AZ42" s="92"/>
      <c r="BA42" s="91"/>
      <c r="BB42" s="92"/>
      <c r="BC42" s="92"/>
      <c r="BD42" s="92"/>
      <c r="BE42" s="91"/>
      <c r="BF42" s="92"/>
      <c r="BG42" s="92"/>
      <c r="BH42" s="92"/>
      <c r="BI42" s="91"/>
      <c r="BJ42" s="92"/>
      <c r="BK42" s="92"/>
      <c r="BL42" s="92"/>
      <c r="BM42" s="91"/>
      <c r="BN42" s="92"/>
      <c r="BO42" s="92"/>
      <c r="BP42" s="92"/>
      <c r="BQ42" s="88"/>
      <c r="CV42" s="93"/>
      <c r="CZ42" s="92"/>
      <c r="DA42" s="91"/>
      <c r="DB42" s="92"/>
      <c r="DC42" s="92"/>
      <c r="DD42" s="92"/>
      <c r="DE42" s="91"/>
      <c r="DF42" s="92"/>
      <c r="DG42" s="92"/>
      <c r="DH42" s="92"/>
      <c r="DI42" s="91"/>
      <c r="DJ42" s="92"/>
      <c r="DK42" s="92"/>
      <c r="DL42" s="92"/>
      <c r="DM42" s="91"/>
      <c r="DN42" s="92"/>
      <c r="DO42" s="92"/>
      <c r="DP42" s="88"/>
      <c r="FK42" s="93"/>
      <c r="FL42" s="99"/>
      <c r="FM42" s="99"/>
      <c r="FN42" s="101"/>
      <c r="FO42" s="92"/>
      <c r="FP42" s="92"/>
      <c r="FQ42" s="91"/>
      <c r="FR42" s="92"/>
      <c r="FS42" s="92"/>
      <c r="FT42" s="92"/>
      <c r="FU42" s="91"/>
      <c r="FV42" s="92"/>
      <c r="FW42" s="92"/>
      <c r="FX42" s="92"/>
      <c r="FY42" s="91"/>
      <c r="FZ42" s="92"/>
      <c r="GA42" s="98"/>
      <c r="GB42" s="99"/>
      <c r="GC42" s="100"/>
    </row>
    <row r="43" spans="1:185" s="71" customFormat="1" ht="9.75" customHeight="1" thickBot="1" x14ac:dyDescent="0.25">
      <c r="A43" s="6">
        <v>86.7</v>
      </c>
      <c r="B43" s="103"/>
      <c r="C43" s="95"/>
      <c r="D43" s="92"/>
      <c r="E43" s="92"/>
      <c r="F43" s="91"/>
      <c r="G43" s="92"/>
      <c r="H43" s="92"/>
      <c r="I43" s="92"/>
      <c r="J43" s="91"/>
      <c r="K43" s="92"/>
      <c r="L43" s="92"/>
      <c r="M43" s="92"/>
      <c r="N43" s="91"/>
      <c r="R43" s="88"/>
      <c r="AW43" s="93"/>
      <c r="AX43" s="92"/>
      <c r="AY43" s="92"/>
      <c r="AZ43" s="92"/>
      <c r="BA43" s="92"/>
      <c r="BB43" s="91"/>
      <c r="BC43" s="92"/>
      <c r="BD43" s="92"/>
      <c r="BE43" s="92"/>
      <c r="BF43" s="91"/>
      <c r="BG43" s="92"/>
      <c r="BH43" s="92"/>
      <c r="BI43" s="92"/>
      <c r="BJ43" s="91"/>
      <c r="BK43" s="92"/>
      <c r="BL43" s="92"/>
      <c r="BM43" s="92"/>
      <c r="BN43" s="91"/>
      <c r="BO43" s="92"/>
      <c r="BP43" s="92"/>
      <c r="BQ43" s="88"/>
      <c r="CV43" s="93"/>
      <c r="CW43" s="99"/>
      <c r="CX43" s="99"/>
      <c r="CY43" s="101"/>
      <c r="CZ43" s="92"/>
      <c r="DA43" s="92"/>
      <c r="DB43" s="91"/>
      <c r="DC43" s="92"/>
      <c r="DD43" s="92"/>
      <c r="DE43" s="92"/>
      <c r="DF43" s="91"/>
      <c r="DG43" s="92"/>
      <c r="DH43" s="92"/>
      <c r="DI43" s="92"/>
      <c r="DJ43" s="91"/>
      <c r="DK43" s="92"/>
      <c r="DL43" s="92"/>
      <c r="DM43" s="92"/>
      <c r="DN43" s="91"/>
      <c r="DO43" s="92"/>
      <c r="DP43" s="88"/>
      <c r="FK43" s="93"/>
      <c r="FN43" s="89"/>
      <c r="FO43" s="92"/>
      <c r="FP43" s="92"/>
      <c r="FQ43" s="92"/>
      <c r="FR43" s="91"/>
      <c r="FS43" s="92"/>
      <c r="FT43" s="92"/>
      <c r="FU43" s="92"/>
      <c r="FV43" s="91"/>
      <c r="FW43" s="92"/>
      <c r="FX43" s="92"/>
      <c r="FY43" s="92"/>
      <c r="FZ43" s="91"/>
      <c r="GB43" s="91"/>
      <c r="GC43" s="94"/>
    </row>
    <row r="44" spans="1:185" s="71" customFormat="1" ht="9.75" customHeight="1" thickBot="1" x14ac:dyDescent="0.25">
      <c r="A44" s="6">
        <v>80</v>
      </c>
      <c r="B44" s="107"/>
      <c r="C44" s="99"/>
      <c r="D44" s="101"/>
      <c r="E44" s="99"/>
      <c r="F44" s="99"/>
      <c r="G44" s="99"/>
      <c r="H44" s="99"/>
      <c r="I44" s="98"/>
      <c r="J44" s="99"/>
      <c r="K44" s="99"/>
      <c r="L44" s="99"/>
      <c r="M44" s="98"/>
      <c r="N44" s="99"/>
      <c r="O44" s="98"/>
      <c r="P44" s="99"/>
      <c r="Q44" s="99"/>
      <c r="R44" s="88"/>
      <c r="AW44" s="93"/>
      <c r="AX44" s="99"/>
      <c r="AY44" s="99"/>
      <c r="AZ44" s="99"/>
      <c r="BA44" s="98"/>
      <c r="BB44" s="99"/>
      <c r="BC44" s="99"/>
      <c r="BD44" s="99"/>
      <c r="BE44" s="98"/>
      <c r="BF44" s="99"/>
      <c r="BG44" s="99"/>
      <c r="BH44" s="99"/>
      <c r="BI44" s="98"/>
      <c r="BJ44" s="99"/>
      <c r="BK44" s="99"/>
      <c r="BL44" s="99"/>
      <c r="BM44" s="98"/>
      <c r="BN44" s="102"/>
      <c r="BO44" s="102"/>
      <c r="BP44" s="102"/>
      <c r="BQ44" s="88"/>
      <c r="CV44" s="93"/>
      <c r="CW44" s="92"/>
      <c r="CX44" s="92"/>
      <c r="CY44" s="92"/>
      <c r="CZ44" s="99"/>
      <c r="DA44" s="98"/>
      <c r="DB44" s="99"/>
      <c r="DC44" s="99"/>
      <c r="DD44" s="99"/>
      <c r="DE44" s="98"/>
      <c r="DF44" s="99"/>
      <c r="DG44" s="99"/>
      <c r="DH44" s="99"/>
      <c r="DI44" s="98"/>
      <c r="DJ44" s="99"/>
      <c r="DK44" s="99"/>
      <c r="DL44" s="99"/>
      <c r="DM44" s="98"/>
      <c r="DN44" s="99"/>
      <c r="DO44" s="99"/>
      <c r="DP44" s="88"/>
      <c r="FK44" s="93"/>
      <c r="FL44" s="99"/>
      <c r="FM44" s="99"/>
      <c r="FN44" s="101"/>
      <c r="FO44" s="99"/>
      <c r="FP44" s="99"/>
      <c r="FQ44" s="98"/>
      <c r="FR44" s="99"/>
      <c r="FS44" s="99"/>
      <c r="FT44" s="99"/>
      <c r="FU44" s="98"/>
      <c r="FV44" s="99"/>
      <c r="FW44" s="99"/>
      <c r="FX44" s="99"/>
      <c r="FY44" s="98"/>
      <c r="FZ44" s="99"/>
      <c r="GA44" s="98"/>
      <c r="GB44" s="92"/>
      <c r="GC44" s="94"/>
    </row>
    <row r="45" spans="1:185" s="71" customFormat="1" ht="9.75" customHeight="1" thickBot="1" x14ac:dyDescent="0.25">
      <c r="A45" s="6">
        <v>73.3</v>
      </c>
      <c r="B45" s="103"/>
      <c r="C45" s="95"/>
      <c r="H45" s="91"/>
      <c r="I45" s="92"/>
      <c r="J45" s="92"/>
      <c r="K45" s="92"/>
      <c r="L45" s="91"/>
      <c r="M45" s="92"/>
      <c r="N45" s="92"/>
      <c r="P45" s="89"/>
      <c r="R45" s="88"/>
      <c r="AW45" s="93"/>
      <c r="AX45" s="92"/>
      <c r="AY45" s="92"/>
      <c r="AZ45" s="91"/>
      <c r="BA45" s="92"/>
      <c r="BB45" s="92"/>
      <c r="BC45" s="92"/>
      <c r="BD45" s="91"/>
      <c r="BE45" s="92"/>
      <c r="BF45" s="92"/>
      <c r="BG45" s="92"/>
      <c r="BH45" s="91"/>
      <c r="BI45" s="92"/>
      <c r="BJ45" s="92"/>
      <c r="BK45" s="92"/>
      <c r="BL45" s="91"/>
      <c r="BM45" s="92"/>
      <c r="BN45" s="98"/>
      <c r="BO45" s="99"/>
      <c r="BP45" s="99"/>
      <c r="BQ45" s="88"/>
      <c r="CV45" s="93"/>
      <c r="CW45" s="92"/>
      <c r="CX45" s="92"/>
      <c r="CY45" s="92"/>
      <c r="CZ45" s="91"/>
      <c r="DA45" s="92"/>
      <c r="DB45" s="92"/>
      <c r="DC45" s="92"/>
      <c r="DD45" s="91"/>
      <c r="DE45" s="92"/>
      <c r="DF45" s="92"/>
      <c r="DG45" s="92"/>
      <c r="DH45" s="91"/>
      <c r="DI45" s="92"/>
      <c r="DJ45" s="92"/>
      <c r="DK45" s="92"/>
      <c r="DL45" s="91"/>
      <c r="DM45" s="92"/>
      <c r="DN45" s="92"/>
      <c r="DO45" s="92"/>
      <c r="DP45" s="88"/>
      <c r="FK45" s="93"/>
      <c r="FO45" s="92"/>
      <c r="FP45" s="91"/>
      <c r="FQ45" s="92"/>
      <c r="FR45" s="92"/>
      <c r="FS45" s="92"/>
      <c r="FT45" s="91"/>
      <c r="FU45" s="92"/>
      <c r="FV45" s="92"/>
      <c r="FW45" s="92"/>
      <c r="FX45" s="91"/>
      <c r="FY45" s="92"/>
      <c r="FZ45" s="92"/>
      <c r="GB45" s="89"/>
      <c r="GC45" s="93"/>
    </row>
    <row r="46" spans="1:185" s="71" customFormat="1" ht="9.75" customHeight="1" thickBot="1" x14ac:dyDescent="0.25">
      <c r="A46" s="6">
        <v>66.7</v>
      </c>
      <c r="B46" s="103"/>
      <c r="C46" s="92"/>
      <c r="D46" s="101"/>
      <c r="E46" s="99"/>
      <c r="F46" s="99"/>
      <c r="G46" s="99"/>
      <c r="H46" s="92"/>
      <c r="I46" s="91"/>
      <c r="J46" s="92"/>
      <c r="K46" s="92"/>
      <c r="L46" s="92"/>
      <c r="M46" s="91"/>
      <c r="N46" s="92"/>
      <c r="O46" s="98"/>
      <c r="P46" s="99"/>
      <c r="Q46" s="99"/>
      <c r="R46" s="88"/>
      <c r="AW46" s="93"/>
      <c r="AX46" s="92"/>
      <c r="AY46" s="92"/>
      <c r="AZ46" s="92"/>
      <c r="BA46" s="91"/>
      <c r="BB46" s="92"/>
      <c r="BC46" s="92"/>
      <c r="BD46" s="92"/>
      <c r="BE46" s="91"/>
      <c r="BF46" s="92"/>
      <c r="BG46" s="92"/>
      <c r="BH46" s="92"/>
      <c r="BI46" s="91"/>
      <c r="BJ46" s="92"/>
      <c r="BK46" s="92"/>
      <c r="BL46" s="92"/>
      <c r="BM46" s="91"/>
      <c r="BN46" s="92"/>
      <c r="BO46" s="92"/>
      <c r="BP46" s="92"/>
      <c r="BQ46" s="88"/>
      <c r="CV46" s="93"/>
      <c r="CZ46" s="92"/>
      <c r="DA46" s="91"/>
      <c r="DB46" s="92"/>
      <c r="DC46" s="92"/>
      <c r="DD46" s="92"/>
      <c r="DE46" s="91"/>
      <c r="DF46" s="92"/>
      <c r="DG46" s="92"/>
      <c r="DH46" s="92"/>
      <c r="DI46" s="91"/>
      <c r="DJ46" s="92"/>
      <c r="DK46" s="92"/>
      <c r="DL46" s="92"/>
      <c r="DM46" s="91"/>
      <c r="DN46" s="92"/>
      <c r="DO46" s="92"/>
      <c r="DP46" s="88"/>
      <c r="FK46" s="93"/>
      <c r="FL46" s="99"/>
      <c r="FM46" s="99"/>
      <c r="FN46" s="101"/>
      <c r="FO46" s="92"/>
      <c r="FP46" s="92"/>
      <c r="FQ46" s="91"/>
      <c r="FR46" s="92"/>
      <c r="FS46" s="92"/>
      <c r="FT46" s="92"/>
      <c r="FU46" s="91"/>
      <c r="FV46" s="92"/>
      <c r="FW46" s="92"/>
      <c r="FX46" s="92"/>
      <c r="FY46" s="91"/>
      <c r="FZ46" s="92"/>
      <c r="GA46" s="98"/>
      <c r="GB46" s="99"/>
      <c r="GC46" s="100"/>
    </row>
    <row r="47" spans="1:185" s="71" customFormat="1" ht="9.75" customHeight="1" thickBot="1" x14ac:dyDescent="0.25">
      <c r="A47" s="6">
        <v>60</v>
      </c>
      <c r="B47" s="103"/>
      <c r="C47" s="95"/>
      <c r="D47" s="92"/>
      <c r="E47" s="92"/>
      <c r="F47" s="91"/>
      <c r="G47" s="92"/>
      <c r="H47" s="92"/>
      <c r="I47" s="92"/>
      <c r="J47" s="91"/>
      <c r="K47" s="92"/>
      <c r="L47" s="92"/>
      <c r="M47" s="92"/>
      <c r="N47" s="91"/>
      <c r="R47" s="88"/>
      <c r="AW47" s="93"/>
      <c r="AX47" s="92"/>
      <c r="AY47" s="92"/>
      <c r="AZ47" s="92"/>
      <c r="BA47" s="92"/>
      <c r="BB47" s="91"/>
      <c r="BC47" s="92"/>
      <c r="BD47" s="92"/>
      <c r="BE47" s="92"/>
      <c r="BF47" s="91"/>
      <c r="BG47" s="92"/>
      <c r="BH47" s="92"/>
      <c r="BI47" s="92"/>
      <c r="BJ47" s="91"/>
      <c r="BK47" s="92"/>
      <c r="BL47" s="92"/>
      <c r="BM47" s="92"/>
      <c r="BN47" s="91"/>
      <c r="BO47" s="92"/>
      <c r="BP47" s="92"/>
      <c r="BQ47" s="88"/>
      <c r="CV47" s="93"/>
      <c r="CW47" s="99"/>
      <c r="CX47" s="99"/>
      <c r="CY47" s="101"/>
      <c r="CZ47" s="92"/>
      <c r="DA47" s="92"/>
      <c r="DB47" s="91"/>
      <c r="DC47" s="92"/>
      <c r="DD47" s="92"/>
      <c r="DE47" s="92"/>
      <c r="DF47" s="91"/>
      <c r="DG47" s="92"/>
      <c r="DH47" s="92"/>
      <c r="DI47" s="92"/>
      <c r="DJ47" s="91"/>
      <c r="DK47" s="92"/>
      <c r="DL47" s="92"/>
      <c r="DM47" s="92"/>
      <c r="DN47" s="91"/>
      <c r="DO47" s="92"/>
      <c r="DP47" s="88"/>
      <c r="FK47" s="93"/>
      <c r="FN47" s="89"/>
      <c r="FO47" s="92"/>
      <c r="FP47" s="92"/>
      <c r="FQ47" s="92"/>
      <c r="FR47" s="91"/>
      <c r="FS47" s="92"/>
      <c r="FT47" s="92"/>
      <c r="FU47" s="92"/>
      <c r="FV47" s="91"/>
      <c r="FW47" s="92"/>
      <c r="FX47" s="92"/>
      <c r="FY47" s="92"/>
      <c r="FZ47" s="91"/>
      <c r="GB47" s="91"/>
      <c r="GC47" s="94"/>
    </row>
    <row r="48" spans="1:185" s="71" customFormat="1" ht="9.75" customHeight="1" thickBot="1" x14ac:dyDescent="0.25">
      <c r="A48" s="6">
        <v>53.3</v>
      </c>
      <c r="B48" s="107"/>
      <c r="C48" s="99"/>
      <c r="D48" s="101"/>
      <c r="E48" s="99"/>
      <c r="F48" s="99"/>
      <c r="G48" s="99"/>
      <c r="H48" s="99"/>
      <c r="I48" s="98"/>
      <c r="J48" s="99"/>
      <c r="K48" s="99"/>
      <c r="L48" s="99"/>
      <c r="M48" s="98"/>
      <c r="N48" s="99"/>
      <c r="O48" s="98"/>
      <c r="P48" s="99"/>
      <c r="Q48" s="99"/>
      <c r="R48" s="88"/>
      <c r="AW48" s="93"/>
      <c r="AX48" s="99"/>
      <c r="AY48" s="99"/>
      <c r="AZ48" s="99"/>
      <c r="BA48" s="98"/>
      <c r="BB48" s="99"/>
      <c r="BC48" s="99"/>
      <c r="BD48" s="99"/>
      <c r="BE48" s="98"/>
      <c r="BF48" s="99"/>
      <c r="BG48" s="99"/>
      <c r="BH48" s="99"/>
      <c r="BI48" s="98"/>
      <c r="BJ48" s="99"/>
      <c r="BK48" s="99"/>
      <c r="BL48" s="99"/>
      <c r="BM48" s="98"/>
      <c r="BN48" s="102"/>
      <c r="BO48" s="102"/>
      <c r="BP48" s="102"/>
      <c r="BQ48" s="88"/>
      <c r="CV48" s="93"/>
      <c r="CW48" s="92"/>
      <c r="CX48" s="92"/>
      <c r="CY48" s="92"/>
      <c r="CZ48" s="99"/>
      <c r="DA48" s="98"/>
      <c r="DB48" s="99"/>
      <c r="DC48" s="99"/>
      <c r="DD48" s="99"/>
      <c r="DE48" s="98"/>
      <c r="DF48" s="99"/>
      <c r="DG48" s="99"/>
      <c r="DH48" s="99"/>
      <c r="DI48" s="98"/>
      <c r="DJ48" s="99"/>
      <c r="DK48" s="99"/>
      <c r="DL48" s="99"/>
      <c r="DM48" s="98"/>
      <c r="DN48" s="99"/>
      <c r="DO48" s="99"/>
      <c r="DP48" s="88"/>
      <c r="FK48" s="93"/>
      <c r="FL48" s="99"/>
      <c r="FM48" s="99"/>
      <c r="FN48" s="101"/>
      <c r="FO48" s="99"/>
      <c r="FP48" s="99"/>
      <c r="FQ48" s="98"/>
      <c r="FR48" s="99"/>
      <c r="FS48" s="99"/>
      <c r="FT48" s="99"/>
      <c r="FU48" s="98"/>
      <c r="FV48" s="99"/>
      <c r="FW48" s="99"/>
      <c r="FX48" s="99"/>
      <c r="FY48" s="98"/>
      <c r="FZ48" s="99"/>
      <c r="GA48" s="98"/>
      <c r="GB48" s="92"/>
      <c r="GC48" s="94"/>
    </row>
    <row r="49" spans="1:501" s="71" customFormat="1" ht="9.75" customHeight="1" thickBot="1" x14ac:dyDescent="0.25">
      <c r="A49" s="6">
        <v>46.7</v>
      </c>
      <c r="B49" s="103"/>
      <c r="C49" s="95"/>
      <c r="H49" s="91"/>
      <c r="I49" s="92"/>
      <c r="J49" s="92"/>
      <c r="K49" s="92"/>
      <c r="L49" s="91"/>
      <c r="M49" s="92"/>
      <c r="N49" s="92"/>
      <c r="P49" s="89"/>
      <c r="R49" s="88"/>
      <c r="AW49" s="93"/>
      <c r="AX49" s="92"/>
      <c r="AY49" s="92"/>
      <c r="AZ49" s="91"/>
      <c r="BA49" s="92"/>
      <c r="BB49" s="92"/>
      <c r="BC49" s="92"/>
      <c r="BD49" s="91"/>
      <c r="BE49" s="92"/>
      <c r="BF49" s="92"/>
      <c r="BG49" s="92"/>
      <c r="BH49" s="91"/>
      <c r="BI49" s="92"/>
      <c r="BJ49" s="92"/>
      <c r="BK49" s="92"/>
      <c r="BL49" s="91"/>
      <c r="BM49" s="92"/>
      <c r="BN49" s="98"/>
      <c r="BO49" s="99"/>
      <c r="BP49" s="99"/>
      <c r="BQ49" s="88"/>
      <c r="CV49" s="93"/>
      <c r="CW49" s="92"/>
      <c r="CX49" s="92"/>
      <c r="CY49" s="92"/>
      <c r="CZ49" s="91"/>
      <c r="DA49" s="92"/>
      <c r="DB49" s="92"/>
      <c r="DC49" s="92"/>
      <c r="DD49" s="91"/>
      <c r="DE49" s="92"/>
      <c r="DF49" s="92"/>
      <c r="DG49" s="92"/>
      <c r="DH49" s="91"/>
      <c r="DI49" s="92"/>
      <c r="DJ49" s="92"/>
      <c r="DK49" s="92"/>
      <c r="DL49" s="91"/>
      <c r="DM49" s="92"/>
      <c r="DN49" s="92"/>
      <c r="DO49" s="92"/>
      <c r="DP49" s="88"/>
      <c r="FK49" s="93"/>
      <c r="FO49" s="92"/>
      <c r="FP49" s="91"/>
      <c r="FQ49" s="92"/>
      <c r="FR49" s="92"/>
      <c r="FS49" s="92"/>
      <c r="FT49" s="91"/>
      <c r="FU49" s="92"/>
      <c r="FV49" s="92"/>
      <c r="FW49" s="92"/>
      <c r="FX49" s="91"/>
      <c r="FY49" s="92"/>
      <c r="FZ49" s="92"/>
      <c r="GB49" s="89"/>
      <c r="GC49" s="93"/>
    </row>
    <row r="50" spans="1:501" s="71" customFormat="1" ht="9.75" customHeight="1" thickBot="1" x14ac:dyDescent="0.25">
      <c r="A50" s="6">
        <v>40</v>
      </c>
      <c r="B50" s="103"/>
      <c r="C50" s="92"/>
      <c r="D50" s="101"/>
      <c r="E50" s="99"/>
      <c r="F50" s="99"/>
      <c r="G50" s="99"/>
      <c r="H50" s="92"/>
      <c r="I50" s="91"/>
      <c r="J50" s="92"/>
      <c r="K50" s="92"/>
      <c r="L50" s="92"/>
      <c r="M50" s="91"/>
      <c r="N50" s="92"/>
      <c r="O50" s="98"/>
      <c r="P50" s="99"/>
      <c r="Q50" s="99"/>
      <c r="R50" s="88"/>
      <c r="AW50" s="93"/>
      <c r="AX50" s="92"/>
      <c r="AY50" s="92"/>
      <c r="AZ50" s="92"/>
      <c r="BA50" s="91"/>
      <c r="BB50" s="92"/>
      <c r="BC50" s="92"/>
      <c r="BD50" s="92"/>
      <c r="BE50" s="91"/>
      <c r="BF50" s="92"/>
      <c r="BG50" s="92"/>
      <c r="BH50" s="92"/>
      <c r="BI50" s="91"/>
      <c r="BJ50" s="92"/>
      <c r="BK50" s="92"/>
      <c r="BL50" s="92"/>
      <c r="BM50" s="91"/>
      <c r="BN50" s="92"/>
      <c r="BO50" s="92"/>
      <c r="BP50" s="92"/>
      <c r="BQ50" s="88"/>
      <c r="CV50" s="93"/>
      <c r="CZ50" s="92"/>
      <c r="DA50" s="91"/>
      <c r="DB50" s="92"/>
      <c r="DC50" s="92"/>
      <c r="DD50" s="92"/>
      <c r="DE50" s="91"/>
      <c r="DF50" s="92"/>
      <c r="DG50" s="92"/>
      <c r="DH50" s="92"/>
      <c r="DI50" s="91"/>
      <c r="DJ50" s="92"/>
      <c r="DK50" s="92"/>
      <c r="DL50" s="92"/>
      <c r="DM50" s="91"/>
      <c r="DN50" s="92"/>
      <c r="DO50" s="92"/>
      <c r="DP50" s="88"/>
      <c r="FK50" s="93"/>
      <c r="FL50" s="99"/>
      <c r="FM50" s="99"/>
      <c r="FN50" s="101"/>
      <c r="FO50" s="92"/>
      <c r="FP50" s="92"/>
      <c r="FQ50" s="91"/>
      <c r="FR50" s="92"/>
      <c r="FS50" s="92"/>
      <c r="FT50" s="92"/>
      <c r="FU50" s="91"/>
      <c r="FV50" s="92"/>
      <c r="FW50" s="92"/>
      <c r="FX50" s="92"/>
      <c r="FY50" s="91"/>
      <c r="FZ50" s="92"/>
      <c r="GA50" s="98"/>
      <c r="GB50" s="99"/>
      <c r="GC50" s="100"/>
    </row>
    <row r="51" spans="1:501" s="71" customFormat="1" ht="9.75" customHeight="1" thickBot="1" x14ac:dyDescent="0.25">
      <c r="A51" s="6">
        <v>33.299999999999997</v>
      </c>
      <c r="B51" s="103"/>
      <c r="C51" s="95"/>
      <c r="D51" s="92"/>
      <c r="E51" s="92"/>
      <c r="F51" s="91"/>
      <c r="G51" s="92"/>
      <c r="H51" s="92"/>
      <c r="I51" s="92"/>
      <c r="J51" s="91"/>
      <c r="K51" s="92"/>
      <c r="L51" s="92"/>
      <c r="M51" s="92"/>
      <c r="N51" s="91"/>
      <c r="R51" s="88"/>
      <c r="AW51" s="93"/>
      <c r="AX51" s="92"/>
      <c r="AY51" s="92"/>
      <c r="AZ51" s="92"/>
      <c r="BA51" s="92"/>
      <c r="BB51" s="91"/>
      <c r="BC51" s="92"/>
      <c r="BD51" s="92"/>
      <c r="BE51" s="92"/>
      <c r="BF51" s="91"/>
      <c r="BG51" s="92"/>
      <c r="BH51" s="92"/>
      <c r="BI51" s="92"/>
      <c r="BJ51" s="91"/>
      <c r="BK51" s="92"/>
      <c r="BL51" s="92"/>
      <c r="BM51" s="92"/>
      <c r="BN51" s="91"/>
      <c r="BO51" s="92"/>
      <c r="BP51" s="92"/>
      <c r="BQ51" s="88"/>
      <c r="CV51" s="93"/>
      <c r="CW51" s="99"/>
      <c r="CX51" s="99"/>
      <c r="CY51" s="101"/>
      <c r="CZ51" s="92"/>
      <c r="DA51" s="92"/>
      <c r="DB51" s="91"/>
      <c r="DC51" s="92"/>
      <c r="DD51" s="92"/>
      <c r="DE51" s="92"/>
      <c r="DF51" s="91"/>
      <c r="DG51" s="92"/>
      <c r="DH51" s="92"/>
      <c r="DI51" s="92"/>
      <c r="DJ51" s="91"/>
      <c r="DK51" s="92"/>
      <c r="DL51" s="92"/>
      <c r="DM51" s="92"/>
      <c r="DN51" s="91"/>
      <c r="DO51" s="92"/>
      <c r="DP51" s="88"/>
      <c r="FK51" s="93"/>
      <c r="FN51" s="89"/>
      <c r="FO51" s="92"/>
      <c r="FP51" s="92"/>
      <c r="FQ51" s="92"/>
      <c r="FR51" s="91"/>
      <c r="FS51" s="92"/>
      <c r="FT51" s="92"/>
      <c r="FU51" s="92"/>
      <c r="FV51" s="91"/>
      <c r="FW51" s="92"/>
      <c r="FX51" s="92"/>
      <c r="FY51" s="92"/>
      <c r="FZ51" s="91"/>
      <c r="GB51" s="91"/>
      <c r="GC51" s="94"/>
    </row>
    <row r="52" spans="1:501" s="71" customFormat="1" ht="9.75" customHeight="1" thickBot="1" x14ac:dyDescent="0.25">
      <c r="A52" s="6">
        <v>26.7</v>
      </c>
      <c r="B52" s="107"/>
      <c r="C52" s="99"/>
      <c r="D52" s="101"/>
      <c r="E52" s="99"/>
      <c r="F52" s="99"/>
      <c r="G52" s="99"/>
      <c r="H52" s="99"/>
      <c r="I52" s="98"/>
      <c r="J52" s="99"/>
      <c r="K52" s="99"/>
      <c r="L52" s="99"/>
      <c r="M52" s="98"/>
      <c r="N52" s="99"/>
      <c r="O52" s="98"/>
      <c r="P52" s="99"/>
      <c r="Q52" s="99"/>
      <c r="R52" s="88"/>
      <c r="AW52" s="93"/>
      <c r="AX52" s="99"/>
      <c r="AY52" s="99"/>
      <c r="AZ52" s="99"/>
      <c r="BA52" s="98"/>
      <c r="BB52" s="99"/>
      <c r="BC52" s="99"/>
      <c r="BD52" s="99"/>
      <c r="BE52" s="98"/>
      <c r="BF52" s="99"/>
      <c r="BG52" s="99"/>
      <c r="BH52" s="99"/>
      <c r="BI52" s="98"/>
      <c r="BJ52" s="99"/>
      <c r="BK52" s="99"/>
      <c r="BL52" s="99"/>
      <c r="BM52" s="98"/>
      <c r="BN52" s="102"/>
      <c r="BO52" s="102"/>
      <c r="BP52" s="102"/>
      <c r="BQ52" s="88"/>
      <c r="CV52" s="93"/>
      <c r="CW52" s="92"/>
      <c r="CX52" s="92"/>
      <c r="CY52" s="92"/>
      <c r="CZ52" s="99"/>
      <c r="DA52" s="98"/>
      <c r="DB52" s="99"/>
      <c r="DC52" s="99"/>
      <c r="DD52" s="99"/>
      <c r="DE52" s="98"/>
      <c r="DF52" s="99"/>
      <c r="DG52" s="99"/>
      <c r="DH52" s="99"/>
      <c r="DI52" s="98"/>
      <c r="DJ52" s="99"/>
      <c r="DK52" s="99"/>
      <c r="DL52" s="99"/>
      <c r="DM52" s="98"/>
      <c r="DN52" s="99"/>
      <c r="DO52" s="99"/>
      <c r="DP52" s="88"/>
      <c r="FK52" s="93"/>
      <c r="FL52" s="99"/>
      <c r="FM52" s="99"/>
      <c r="FN52" s="101"/>
      <c r="FO52" s="99"/>
      <c r="FP52" s="99"/>
      <c r="FQ52" s="98"/>
      <c r="FR52" s="99"/>
      <c r="FS52" s="99"/>
      <c r="FT52" s="99"/>
      <c r="FU52" s="98"/>
      <c r="FV52" s="99"/>
      <c r="FW52" s="99"/>
      <c r="FX52" s="99"/>
      <c r="FY52" s="98"/>
      <c r="FZ52" s="99"/>
      <c r="GA52" s="98"/>
      <c r="GB52" s="92"/>
      <c r="GC52" s="94"/>
    </row>
    <row r="53" spans="1:501" s="71" customFormat="1" ht="9.75" customHeight="1" thickBot="1" x14ac:dyDescent="0.25">
      <c r="A53" s="6">
        <v>20</v>
      </c>
      <c r="B53" s="103"/>
      <c r="C53" s="95"/>
      <c r="H53" s="91"/>
      <c r="I53" s="92"/>
      <c r="J53" s="92"/>
      <c r="K53" s="92"/>
      <c r="L53" s="91"/>
      <c r="M53" s="92"/>
      <c r="N53" s="92"/>
      <c r="P53" s="89"/>
      <c r="R53" s="88"/>
      <c r="AW53" s="93"/>
      <c r="AX53" s="92"/>
      <c r="AY53" s="92"/>
      <c r="AZ53" s="91"/>
      <c r="BA53" s="92"/>
      <c r="BB53" s="92"/>
      <c r="BC53" s="92"/>
      <c r="BD53" s="91"/>
      <c r="BE53" s="92"/>
      <c r="BF53" s="92"/>
      <c r="BG53" s="92"/>
      <c r="BH53" s="91"/>
      <c r="BI53" s="92"/>
      <c r="BJ53" s="92"/>
      <c r="BK53" s="92"/>
      <c r="BL53" s="91"/>
      <c r="BM53" s="92"/>
      <c r="BN53" s="98"/>
      <c r="BO53" s="99"/>
      <c r="BP53" s="99"/>
      <c r="BQ53" s="88"/>
      <c r="CV53" s="93"/>
      <c r="CW53" s="92"/>
      <c r="CX53" s="92"/>
      <c r="CY53" s="92"/>
      <c r="CZ53" s="91"/>
      <c r="DA53" s="92"/>
      <c r="DB53" s="92"/>
      <c r="DC53" s="92"/>
      <c r="DD53" s="91"/>
      <c r="DE53" s="92"/>
      <c r="DF53" s="92"/>
      <c r="DG53" s="92"/>
      <c r="DH53" s="91"/>
      <c r="DI53" s="92"/>
      <c r="DJ53" s="92"/>
      <c r="DK53" s="92"/>
      <c r="DL53" s="91"/>
      <c r="DM53" s="92"/>
      <c r="DN53" s="92"/>
      <c r="DO53" s="92"/>
      <c r="DP53" s="88"/>
      <c r="FK53" s="93"/>
      <c r="FO53" s="92"/>
      <c r="FP53" s="91"/>
      <c r="FQ53" s="92"/>
      <c r="FR53" s="92"/>
      <c r="FS53" s="92"/>
      <c r="FT53" s="91"/>
      <c r="FU53" s="92"/>
      <c r="FV53" s="92"/>
      <c r="FW53" s="92"/>
      <c r="FX53" s="91"/>
      <c r="FY53" s="92"/>
      <c r="FZ53" s="92"/>
      <c r="GB53" s="89"/>
      <c r="GC53" s="93"/>
    </row>
    <row r="54" spans="1:501" s="71" customFormat="1" ht="9.75" customHeight="1" thickBot="1" x14ac:dyDescent="0.25">
      <c r="A54" s="6">
        <v>13.3</v>
      </c>
      <c r="B54" s="103"/>
      <c r="C54" s="92"/>
      <c r="D54" s="101"/>
      <c r="E54" s="99"/>
      <c r="F54" s="99"/>
      <c r="G54" s="99"/>
      <c r="H54" s="92"/>
      <c r="I54" s="91"/>
      <c r="J54" s="92"/>
      <c r="K54" s="92"/>
      <c r="L54" s="92"/>
      <c r="M54" s="91"/>
      <c r="N54" s="92"/>
      <c r="O54" s="98"/>
      <c r="P54" s="99"/>
      <c r="Q54" s="99"/>
      <c r="R54" s="88"/>
      <c r="AW54" s="93"/>
      <c r="AX54" s="92"/>
      <c r="AY54" s="92"/>
      <c r="AZ54" s="92"/>
      <c r="BA54" s="91"/>
      <c r="BB54" s="92"/>
      <c r="BC54" s="92"/>
      <c r="BD54" s="92"/>
      <c r="BE54" s="91"/>
      <c r="BF54" s="92"/>
      <c r="BG54" s="92"/>
      <c r="BH54" s="92"/>
      <c r="BI54" s="91"/>
      <c r="BJ54" s="92"/>
      <c r="BK54" s="92"/>
      <c r="BL54" s="92"/>
      <c r="BM54" s="91"/>
      <c r="BN54" s="92"/>
      <c r="BO54" s="92"/>
      <c r="BP54" s="92"/>
      <c r="BQ54" s="88"/>
      <c r="CV54" s="93"/>
      <c r="CZ54" s="92"/>
      <c r="DA54" s="91"/>
      <c r="DB54" s="92"/>
      <c r="DC54" s="92"/>
      <c r="DD54" s="92"/>
      <c r="DE54" s="91"/>
      <c r="DF54" s="92"/>
      <c r="DG54" s="92"/>
      <c r="DH54" s="92"/>
      <c r="DI54" s="91"/>
      <c r="DJ54" s="92"/>
      <c r="DK54" s="92"/>
      <c r="DL54" s="92"/>
      <c r="DM54" s="91"/>
      <c r="DN54" s="92"/>
      <c r="DO54" s="92"/>
      <c r="DP54" s="88"/>
      <c r="FK54" s="93"/>
      <c r="FL54" s="99"/>
      <c r="FM54" s="99"/>
      <c r="FN54" s="101"/>
      <c r="FO54" s="92"/>
      <c r="FP54" s="92"/>
      <c r="FQ54" s="91"/>
      <c r="FR54" s="92"/>
      <c r="FS54" s="92"/>
      <c r="FT54" s="92"/>
      <c r="FU54" s="91"/>
      <c r="FV54" s="92"/>
      <c r="FW54" s="92"/>
      <c r="FX54" s="92"/>
      <c r="FY54" s="91"/>
      <c r="FZ54" s="92"/>
      <c r="GA54" s="98"/>
      <c r="GB54" s="99"/>
      <c r="GC54" s="100"/>
    </row>
    <row r="55" spans="1:501" s="71" customFormat="1" ht="9.75" customHeight="1" thickBot="1" x14ac:dyDescent="0.25">
      <c r="A55" s="6">
        <v>6.7</v>
      </c>
      <c r="B55" s="103"/>
      <c r="C55" s="95"/>
      <c r="D55" s="92"/>
      <c r="E55" s="92"/>
      <c r="F55" s="91"/>
      <c r="G55" s="92"/>
      <c r="H55" s="92"/>
      <c r="I55" s="92"/>
      <c r="J55" s="91"/>
      <c r="K55" s="92"/>
      <c r="L55" s="92"/>
      <c r="M55" s="92"/>
      <c r="N55" s="91"/>
      <c r="O55" s="92"/>
      <c r="P55" s="92"/>
      <c r="Q55" s="92"/>
      <c r="R55" s="111"/>
      <c r="S55" s="90"/>
      <c r="T55" s="90"/>
      <c r="U55" s="90"/>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113"/>
      <c r="AX55" s="92"/>
      <c r="AY55" s="92"/>
      <c r="AZ55" s="92"/>
      <c r="BA55" s="92"/>
      <c r="BB55" s="91"/>
      <c r="BC55" s="92"/>
      <c r="BD55" s="92"/>
      <c r="BE55" s="92"/>
      <c r="BF55" s="91"/>
      <c r="BG55" s="92"/>
      <c r="BH55" s="92"/>
      <c r="BI55" s="92"/>
      <c r="BJ55" s="91"/>
      <c r="BK55" s="92"/>
      <c r="BL55" s="92"/>
      <c r="BM55" s="92"/>
      <c r="BN55" s="91"/>
      <c r="BO55" s="92"/>
      <c r="BP55" s="92"/>
      <c r="BQ55" s="111"/>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113"/>
      <c r="CW55" s="99"/>
      <c r="CX55" s="99"/>
      <c r="CY55" s="101"/>
      <c r="CZ55" s="92"/>
      <c r="DA55" s="92"/>
      <c r="DB55" s="91"/>
      <c r="DC55" s="92"/>
      <c r="DD55" s="92"/>
      <c r="DE55" s="92"/>
      <c r="DF55" s="91"/>
      <c r="DG55" s="92"/>
      <c r="DH55" s="92"/>
      <c r="DI55" s="92"/>
      <c r="DJ55" s="91"/>
      <c r="DK55" s="92"/>
      <c r="DL55" s="92"/>
      <c r="DM55" s="92"/>
      <c r="DN55" s="91"/>
      <c r="DO55" s="92"/>
      <c r="DP55" s="111"/>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113"/>
      <c r="FL55" s="92"/>
      <c r="FM55" s="92"/>
      <c r="FN55" s="91"/>
      <c r="FO55" s="92"/>
      <c r="FP55" s="92"/>
      <c r="FQ55" s="92"/>
      <c r="FR55" s="91"/>
      <c r="FS55" s="92"/>
      <c r="FT55" s="92"/>
      <c r="FU55" s="92"/>
      <c r="FV55" s="91"/>
      <c r="FW55" s="92"/>
      <c r="FX55" s="92"/>
      <c r="FY55" s="92"/>
      <c r="FZ55" s="91"/>
      <c r="GA55" s="92"/>
      <c r="GB55" s="91"/>
      <c r="GC55" s="94"/>
    </row>
    <row r="56" spans="1:501" ht="33.75" customHeight="1" x14ac:dyDescent="0.25">
      <c r="B56" s="4">
        <v>6</v>
      </c>
      <c r="C56" s="4">
        <v>12</v>
      </c>
      <c r="D56" s="4">
        <v>18</v>
      </c>
      <c r="E56" s="4">
        <v>24</v>
      </c>
      <c r="F56" s="4">
        <v>30</v>
      </c>
      <c r="G56" s="4">
        <v>36</v>
      </c>
      <c r="H56" s="4">
        <v>42</v>
      </c>
      <c r="I56" s="4">
        <v>48</v>
      </c>
      <c r="J56" s="4">
        <v>54</v>
      </c>
      <c r="K56" s="4">
        <v>60</v>
      </c>
      <c r="L56" s="4">
        <v>66</v>
      </c>
      <c r="M56" s="4">
        <v>72</v>
      </c>
      <c r="N56" s="4">
        <v>78</v>
      </c>
      <c r="O56" s="4">
        <v>84</v>
      </c>
      <c r="P56" s="4">
        <v>90</v>
      </c>
      <c r="Q56" s="4">
        <v>96</v>
      </c>
      <c r="R56" s="4">
        <v>102</v>
      </c>
      <c r="S56" s="4">
        <v>108</v>
      </c>
      <c r="T56" s="4">
        <v>114</v>
      </c>
      <c r="U56" s="4">
        <v>120</v>
      </c>
      <c r="V56" s="4">
        <v>126</v>
      </c>
      <c r="W56" s="4">
        <v>132</v>
      </c>
      <c r="X56" s="4">
        <v>138</v>
      </c>
      <c r="Y56" s="4">
        <v>144</v>
      </c>
      <c r="Z56" s="4">
        <v>150</v>
      </c>
      <c r="AA56" s="4">
        <v>156</v>
      </c>
      <c r="AB56" s="4">
        <v>162</v>
      </c>
      <c r="AC56" s="4">
        <v>168</v>
      </c>
      <c r="AD56" s="4">
        <v>174</v>
      </c>
      <c r="AE56" s="4">
        <v>180</v>
      </c>
      <c r="AF56" s="4">
        <v>186</v>
      </c>
      <c r="AG56" s="4">
        <v>192</v>
      </c>
      <c r="AH56" s="4">
        <v>198</v>
      </c>
      <c r="AI56" s="4">
        <v>204</v>
      </c>
      <c r="AJ56" s="4">
        <v>210</v>
      </c>
      <c r="AK56" s="4">
        <v>216</v>
      </c>
      <c r="AL56" s="4">
        <v>222</v>
      </c>
      <c r="AM56" s="4">
        <v>228</v>
      </c>
      <c r="AN56" s="4">
        <v>234</v>
      </c>
      <c r="AO56" s="4">
        <v>240</v>
      </c>
      <c r="AP56" s="4">
        <v>246</v>
      </c>
      <c r="AQ56" s="4">
        <v>252</v>
      </c>
      <c r="AR56" s="4">
        <v>258</v>
      </c>
      <c r="AS56" s="4">
        <v>264</v>
      </c>
      <c r="AT56" s="4">
        <v>270</v>
      </c>
      <c r="AU56" s="4">
        <v>276</v>
      </c>
      <c r="AV56" s="4">
        <v>282</v>
      </c>
      <c r="AW56" s="4">
        <v>288</v>
      </c>
      <c r="AX56" s="4">
        <v>294</v>
      </c>
      <c r="AY56" s="4">
        <v>300</v>
      </c>
      <c r="AZ56" s="4">
        <v>306</v>
      </c>
      <c r="BA56" s="4">
        <v>312</v>
      </c>
      <c r="BB56" s="4">
        <v>318</v>
      </c>
      <c r="BC56" s="4">
        <v>324</v>
      </c>
      <c r="BD56" s="4">
        <v>330</v>
      </c>
      <c r="BE56" s="4">
        <v>336</v>
      </c>
      <c r="BF56" s="4">
        <v>342</v>
      </c>
      <c r="BG56" s="4">
        <v>348</v>
      </c>
      <c r="BH56" s="4">
        <v>354</v>
      </c>
      <c r="BI56" s="4">
        <v>360</v>
      </c>
      <c r="BJ56" s="4">
        <v>366</v>
      </c>
      <c r="BK56" s="4">
        <v>372</v>
      </c>
      <c r="BL56" s="4">
        <v>378</v>
      </c>
      <c r="BM56" s="4">
        <v>384</v>
      </c>
      <c r="BN56" s="4">
        <v>390</v>
      </c>
      <c r="BO56" s="4">
        <v>396</v>
      </c>
      <c r="BP56" s="4">
        <v>402</v>
      </c>
      <c r="BQ56" s="4">
        <v>408</v>
      </c>
      <c r="BR56" s="4">
        <v>414</v>
      </c>
      <c r="BS56" s="4">
        <v>420</v>
      </c>
      <c r="BT56" s="4">
        <v>426</v>
      </c>
      <c r="BU56" s="4">
        <v>432</v>
      </c>
      <c r="BV56" s="4">
        <v>438</v>
      </c>
      <c r="BW56" s="4">
        <v>444</v>
      </c>
      <c r="BX56" s="4">
        <v>450</v>
      </c>
      <c r="BY56" s="4">
        <v>456</v>
      </c>
      <c r="BZ56" s="4">
        <v>462</v>
      </c>
      <c r="CA56" s="4">
        <v>468</v>
      </c>
      <c r="CB56" s="4">
        <v>474</v>
      </c>
      <c r="CC56" s="4">
        <v>480</v>
      </c>
      <c r="CD56" s="4">
        <v>486</v>
      </c>
      <c r="CE56" s="4">
        <v>492</v>
      </c>
      <c r="CF56" s="4">
        <v>498</v>
      </c>
      <c r="CG56" s="4">
        <v>504</v>
      </c>
      <c r="CH56" s="4">
        <v>510</v>
      </c>
      <c r="CI56" s="4">
        <v>516</v>
      </c>
      <c r="CJ56" s="4">
        <v>522</v>
      </c>
      <c r="CK56" s="4">
        <v>528</v>
      </c>
      <c r="CL56" s="4">
        <v>534</v>
      </c>
      <c r="CM56" s="4">
        <v>540</v>
      </c>
      <c r="CN56" s="4">
        <v>546</v>
      </c>
      <c r="CO56" s="4">
        <v>552</v>
      </c>
      <c r="CP56" s="4">
        <v>558</v>
      </c>
      <c r="CQ56" s="4">
        <v>564</v>
      </c>
      <c r="CR56" s="4">
        <v>570</v>
      </c>
      <c r="CS56" s="4">
        <v>576</v>
      </c>
      <c r="CT56" s="4">
        <v>582</v>
      </c>
      <c r="CU56" s="4">
        <v>588</v>
      </c>
      <c r="CV56" s="4">
        <v>594</v>
      </c>
      <c r="CW56" s="4">
        <v>600</v>
      </c>
      <c r="CX56" s="4">
        <v>606</v>
      </c>
      <c r="CY56" s="4">
        <v>612</v>
      </c>
      <c r="CZ56" s="4">
        <v>618</v>
      </c>
      <c r="DA56" s="4">
        <v>624</v>
      </c>
      <c r="DB56" s="4">
        <v>630</v>
      </c>
      <c r="DC56" s="4">
        <v>636</v>
      </c>
      <c r="DD56" s="4">
        <v>642</v>
      </c>
      <c r="DE56" s="4">
        <v>648</v>
      </c>
      <c r="DF56" s="4">
        <v>654</v>
      </c>
      <c r="DG56" s="4">
        <v>660</v>
      </c>
      <c r="DH56" s="4">
        <v>666</v>
      </c>
      <c r="DI56" s="4">
        <v>672</v>
      </c>
      <c r="DJ56" s="4">
        <v>678</v>
      </c>
      <c r="DK56" s="4">
        <v>684</v>
      </c>
      <c r="DL56" s="4">
        <v>690</v>
      </c>
      <c r="DM56" s="4">
        <v>696</v>
      </c>
      <c r="DN56" s="4">
        <v>702</v>
      </c>
      <c r="DO56" s="4">
        <v>708</v>
      </c>
      <c r="DP56" s="4">
        <v>714</v>
      </c>
      <c r="DQ56" s="4">
        <v>720</v>
      </c>
      <c r="DR56" s="4">
        <v>726</v>
      </c>
      <c r="DS56" s="4">
        <v>732</v>
      </c>
      <c r="DT56" s="4">
        <v>738</v>
      </c>
      <c r="DU56" s="4">
        <v>744</v>
      </c>
      <c r="DV56" s="4">
        <v>750</v>
      </c>
      <c r="DW56" s="4">
        <v>756</v>
      </c>
      <c r="DX56" s="4">
        <v>762</v>
      </c>
      <c r="DY56" s="4">
        <v>768</v>
      </c>
      <c r="DZ56" s="4">
        <v>774</v>
      </c>
      <c r="EA56" s="4">
        <v>780</v>
      </c>
      <c r="EB56" s="4">
        <v>786</v>
      </c>
      <c r="EC56" s="4">
        <v>792</v>
      </c>
      <c r="ED56" s="4">
        <v>798</v>
      </c>
      <c r="EE56" s="4">
        <v>804</v>
      </c>
      <c r="EF56" s="4">
        <v>810</v>
      </c>
      <c r="EG56" s="4">
        <v>816</v>
      </c>
      <c r="EH56" s="4">
        <v>822</v>
      </c>
      <c r="EI56" s="4">
        <v>828</v>
      </c>
      <c r="EJ56" s="4">
        <v>834</v>
      </c>
      <c r="EK56" s="4">
        <v>840</v>
      </c>
      <c r="EL56" s="4">
        <v>846</v>
      </c>
      <c r="EM56" s="4">
        <v>852</v>
      </c>
      <c r="EN56" s="4">
        <v>858</v>
      </c>
      <c r="EO56" s="4">
        <v>864</v>
      </c>
      <c r="EP56" s="4">
        <v>870</v>
      </c>
      <c r="EQ56" s="4">
        <v>876</v>
      </c>
      <c r="ER56" s="4">
        <v>882</v>
      </c>
      <c r="ES56" s="4">
        <v>888</v>
      </c>
      <c r="ET56" s="4">
        <v>894</v>
      </c>
      <c r="EU56" s="4">
        <v>900</v>
      </c>
      <c r="EV56" s="4">
        <v>906</v>
      </c>
      <c r="EW56" s="4">
        <v>912</v>
      </c>
      <c r="EX56" s="4">
        <v>918</v>
      </c>
      <c r="EY56" s="4">
        <v>924</v>
      </c>
      <c r="EZ56" s="4">
        <v>930</v>
      </c>
      <c r="FA56" s="4">
        <v>936</v>
      </c>
      <c r="FB56" s="4">
        <v>942</v>
      </c>
      <c r="FC56" s="4">
        <v>948</v>
      </c>
      <c r="FD56" s="4">
        <v>954</v>
      </c>
      <c r="FE56" s="4">
        <v>960</v>
      </c>
      <c r="FF56" s="4">
        <v>966</v>
      </c>
      <c r="FG56" s="4">
        <v>972</v>
      </c>
      <c r="FH56" s="4">
        <v>978</v>
      </c>
      <c r="FI56" s="4">
        <v>984</v>
      </c>
      <c r="FJ56" s="4">
        <v>990</v>
      </c>
      <c r="FK56" s="4">
        <v>996</v>
      </c>
      <c r="FL56" s="4">
        <v>1002</v>
      </c>
      <c r="FM56" s="4">
        <v>1008</v>
      </c>
      <c r="FN56" s="4">
        <v>1014</v>
      </c>
      <c r="FO56" s="4">
        <v>1020</v>
      </c>
      <c r="FP56" s="4">
        <v>1026</v>
      </c>
      <c r="FQ56" s="4">
        <v>1032</v>
      </c>
      <c r="FR56" s="4">
        <v>1038</v>
      </c>
      <c r="FS56" s="4">
        <v>1044</v>
      </c>
      <c r="FT56" s="4">
        <v>1050</v>
      </c>
      <c r="FU56" s="4">
        <v>1056</v>
      </c>
      <c r="FV56" s="4">
        <v>1062</v>
      </c>
      <c r="FW56" s="4">
        <v>1068</v>
      </c>
      <c r="FX56" s="4">
        <v>1074</v>
      </c>
      <c r="FY56" s="4">
        <v>1080</v>
      </c>
      <c r="FZ56" s="4">
        <v>1086</v>
      </c>
      <c r="GA56" s="4">
        <v>1092</v>
      </c>
      <c r="GB56" s="4">
        <v>1098</v>
      </c>
      <c r="GC56" s="4">
        <v>1104</v>
      </c>
      <c r="GD56" s="4">
        <v>1110</v>
      </c>
      <c r="GE56" s="4">
        <v>1116</v>
      </c>
      <c r="GF56" s="4">
        <v>1122</v>
      </c>
      <c r="GG56" s="4">
        <v>1128</v>
      </c>
      <c r="GH56" s="4">
        <v>1134</v>
      </c>
      <c r="GI56" s="4">
        <v>1140</v>
      </c>
      <c r="GJ56" s="4">
        <v>1146</v>
      </c>
      <c r="GK56" s="4">
        <v>1152</v>
      </c>
      <c r="GL56" s="4">
        <v>1158</v>
      </c>
      <c r="GM56" s="4">
        <v>1164</v>
      </c>
      <c r="GN56" s="4">
        <v>1170</v>
      </c>
      <c r="GO56" s="4">
        <v>1176</v>
      </c>
      <c r="GP56" s="4">
        <v>1182</v>
      </c>
      <c r="GQ56" s="4">
        <v>1188</v>
      </c>
      <c r="GR56" s="4">
        <v>1194</v>
      </c>
      <c r="GS56" s="4">
        <v>1200</v>
      </c>
      <c r="GT56" s="4">
        <v>1206</v>
      </c>
      <c r="GU56" s="4">
        <v>1212</v>
      </c>
      <c r="GV56" s="4">
        <v>1218</v>
      </c>
      <c r="GW56" s="4">
        <v>1224</v>
      </c>
      <c r="GX56" s="4">
        <v>1230</v>
      </c>
      <c r="GY56" s="4">
        <v>1236</v>
      </c>
      <c r="GZ56" s="4">
        <v>1242</v>
      </c>
      <c r="HA56" s="4">
        <v>1248</v>
      </c>
      <c r="HB56" s="4">
        <v>1254</v>
      </c>
      <c r="HC56" s="4">
        <v>1260</v>
      </c>
      <c r="HD56" s="4">
        <v>1266</v>
      </c>
      <c r="HE56" s="4">
        <v>1272</v>
      </c>
      <c r="HF56" s="4">
        <v>1278</v>
      </c>
      <c r="HG56" s="4">
        <v>1284</v>
      </c>
      <c r="HH56" s="4">
        <v>1290</v>
      </c>
      <c r="HI56" s="4">
        <v>1296</v>
      </c>
      <c r="HJ56" s="4">
        <v>1302</v>
      </c>
      <c r="HK56" s="4">
        <v>1308</v>
      </c>
      <c r="HL56" s="4">
        <v>1314</v>
      </c>
      <c r="HM56" s="4">
        <v>1320</v>
      </c>
      <c r="HN56" s="4">
        <v>1326</v>
      </c>
      <c r="HO56" s="4">
        <v>1332</v>
      </c>
      <c r="HP56" s="4">
        <v>1338</v>
      </c>
      <c r="HQ56" s="4">
        <v>1344</v>
      </c>
      <c r="HR56" s="4">
        <v>1350</v>
      </c>
      <c r="HS56" s="4">
        <v>1356</v>
      </c>
      <c r="HT56" s="4">
        <v>1362</v>
      </c>
      <c r="HU56" s="4">
        <v>1368</v>
      </c>
      <c r="HV56" s="4">
        <v>1374</v>
      </c>
      <c r="HW56" s="4">
        <v>1380</v>
      </c>
      <c r="HX56" s="4">
        <v>1386</v>
      </c>
      <c r="HY56" s="4">
        <v>1392</v>
      </c>
      <c r="HZ56" s="4">
        <v>1398</v>
      </c>
      <c r="IA56" s="4">
        <v>1404</v>
      </c>
      <c r="IB56" s="4">
        <v>1410</v>
      </c>
      <c r="IC56" s="4">
        <v>1416</v>
      </c>
      <c r="ID56" s="4">
        <v>1422</v>
      </c>
      <c r="IE56" s="4">
        <v>1428</v>
      </c>
      <c r="IF56" s="4">
        <v>1434</v>
      </c>
      <c r="IG56" s="4">
        <v>1440</v>
      </c>
      <c r="IH56" s="4">
        <v>1446</v>
      </c>
      <c r="II56" s="4">
        <v>1452</v>
      </c>
      <c r="IJ56" s="4">
        <v>1458</v>
      </c>
      <c r="IK56" s="4">
        <v>1464</v>
      </c>
      <c r="IL56" s="4">
        <v>1470</v>
      </c>
      <c r="IM56" s="4">
        <v>1476</v>
      </c>
      <c r="IN56" s="4">
        <v>1482</v>
      </c>
      <c r="IO56" s="4">
        <v>1488</v>
      </c>
      <c r="IP56" s="4">
        <v>1494</v>
      </c>
      <c r="IQ56" s="4">
        <v>1500</v>
      </c>
      <c r="IR56" s="4">
        <v>1506</v>
      </c>
      <c r="IS56" s="4">
        <v>1512</v>
      </c>
      <c r="IT56" s="4">
        <v>1518</v>
      </c>
      <c r="IU56" s="4">
        <v>1524</v>
      </c>
      <c r="IV56" s="4">
        <v>1530</v>
      </c>
      <c r="IW56" s="4">
        <v>1536</v>
      </c>
      <c r="IX56" s="4">
        <v>1542</v>
      </c>
      <c r="IY56" s="4">
        <v>1548</v>
      </c>
      <c r="IZ56" s="4">
        <v>1554</v>
      </c>
      <c r="JA56" s="4">
        <v>1560</v>
      </c>
      <c r="JB56" s="4">
        <v>1566</v>
      </c>
      <c r="JC56" s="4">
        <v>1572</v>
      </c>
      <c r="JD56" s="4">
        <v>1578</v>
      </c>
      <c r="JE56" s="4">
        <v>1584</v>
      </c>
      <c r="JF56" s="4">
        <v>1590</v>
      </c>
      <c r="JG56" s="4">
        <v>1596</v>
      </c>
      <c r="JH56" s="4">
        <v>1602</v>
      </c>
      <c r="JI56" s="4">
        <v>1608</v>
      </c>
      <c r="JJ56" s="4">
        <v>1614</v>
      </c>
      <c r="JK56" s="4">
        <v>1620</v>
      </c>
      <c r="JL56" s="4">
        <v>1626</v>
      </c>
      <c r="JM56" s="4">
        <v>1632</v>
      </c>
      <c r="JN56" s="4">
        <v>1638</v>
      </c>
      <c r="JO56" s="4">
        <v>1644</v>
      </c>
      <c r="JP56" s="4">
        <v>1650</v>
      </c>
      <c r="JQ56" s="4">
        <v>1656</v>
      </c>
      <c r="JR56" s="4">
        <v>1662</v>
      </c>
      <c r="JS56" s="4">
        <v>1668</v>
      </c>
      <c r="JT56" s="4">
        <v>1674</v>
      </c>
      <c r="JU56" s="4">
        <v>1680</v>
      </c>
      <c r="JV56" s="4">
        <v>1686</v>
      </c>
      <c r="JW56" s="4">
        <v>1692</v>
      </c>
      <c r="JX56" s="4">
        <v>1698</v>
      </c>
      <c r="JY56" s="4">
        <v>1704</v>
      </c>
      <c r="JZ56" s="4">
        <v>1710</v>
      </c>
      <c r="KA56" s="4">
        <v>1716</v>
      </c>
      <c r="KB56" s="4">
        <v>1722</v>
      </c>
      <c r="KC56" s="4">
        <v>1728</v>
      </c>
      <c r="KD56" s="4">
        <v>1734</v>
      </c>
      <c r="KE56" s="4">
        <v>1740</v>
      </c>
      <c r="KF56" s="4">
        <v>1746</v>
      </c>
      <c r="KG56" s="4">
        <v>1752</v>
      </c>
      <c r="KH56" s="4">
        <v>1758</v>
      </c>
      <c r="KI56" s="4">
        <v>1764</v>
      </c>
      <c r="KJ56" s="4">
        <v>1770</v>
      </c>
      <c r="KK56" s="4">
        <v>1776</v>
      </c>
      <c r="KL56" s="4">
        <v>1782</v>
      </c>
      <c r="KM56" s="4">
        <v>1788</v>
      </c>
      <c r="KN56" s="4">
        <v>1794</v>
      </c>
      <c r="KO56" s="4">
        <v>1800</v>
      </c>
      <c r="KP56" s="4">
        <v>1806</v>
      </c>
      <c r="KQ56" s="4">
        <v>1812</v>
      </c>
      <c r="KR56" s="4">
        <v>1818</v>
      </c>
      <c r="KS56" s="4">
        <v>1824</v>
      </c>
      <c r="KT56" s="4">
        <v>1830</v>
      </c>
      <c r="KU56" s="4">
        <v>1836</v>
      </c>
      <c r="KV56" s="4">
        <v>1842</v>
      </c>
      <c r="KW56" s="4">
        <v>1848</v>
      </c>
      <c r="KX56" s="4">
        <v>1854</v>
      </c>
      <c r="KY56" s="4">
        <v>1860</v>
      </c>
      <c r="KZ56" s="4">
        <v>1866</v>
      </c>
      <c r="LA56" s="4">
        <v>1872</v>
      </c>
      <c r="LB56" s="4">
        <v>1878</v>
      </c>
      <c r="LC56" s="4">
        <v>1884</v>
      </c>
      <c r="LD56" s="4">
        <v>1890</v>
      </c>
      <c r="LE56" s="4">
        <v>1896</v>
      </c>
      <c r="LF56" s="4">
        <v>1902</v>
      </c>
      <c r="LG56" s="4">
        <v>1908</v>
      </c>
      <c r="LH56" s="4">
        <v>1914</v>
      </c>
      <c r="LI56" s="4">
        <v>1920</v>
      </c>
      <c r="LJ56" s="4">
        <v>1926</v>
      </c>
      <c r="LK56" s="4">
        <v>1932</v>
      </c>
      <c r="LL56" s="4">
        <v>1938</v>
      </c>
      <c r="LM56" s="4">
        <v>1944</v>
      </c>
      <c r="LN56" s="4">
        <v>1950</v>
      </c>
      <c r="LO56" s="4">
        <v>1956</v>
      </c>
      <c r="LP56" s="4">
        <v>1962</v>
      </c>
      <c r="LQ56" s="4">
        <v>1968</v>
      </c>
      <c r="LR56" s="4">
        <v>1974</v>
      </c>
      <c r="LS56" s="4">
        <v>1980</v>
      </c>
      <c r="LT56" s="4">
        <v>1986</v>
      </c>
      <c r="LU56" s="4">
        <v>1992</v>
      </c>
      <c r="LV56" s="4">
        <v>1998</v>
      </c>
      <c r="LW56" s="4">
        <v>2004</v>
      </c>
      <c r="LX56" s="4">
        <v>2010</v>
      </c>
      <c r="LY56" s="4">
        <v>2016</v>
      </c>
      <c r="LZ56" s="4">
        <v>2022</v>
      </c>
      <c r="MA56" s="4">
        <v>2028</v>
      </c>
      <c r="MB56" s="4">
        <v>2034</v>
      </c>
      <c r="MC56" s="4">
        <v>2040</v>
      </c>
      <c r="MD56" s="4">
        <v>2046</v>
      </c>
      <c r="ME56" s="4">
        <v>2052</v>
      </c>
      <c r="MF56" s="4">
        <v>2058</v>
      </c>
      <c r="MG56" s="4">
        <v>2064</v>
      </c>
      <c r="MH56" s="4">
        <v>2070</v>
      </c>
      <c r="MI56" s="4">
        <v>2076</v>
      </c>
      <c r="MJ56" s="4">
        <v>2082</v>
      </c>
      <c r="MK56" s="4">
        <v>2088</v>
      </c>
      <c r="ML56" s="4">
        <v>2094</v>
      </c>
      <c r="MM56" s="4">
        <v>2100</v>
      </c>
      <c r="MN56" s="4">
        <v>2106</v>
      </c>
      <c r="MO56" s="4">
        <v>2112</v>
      </c>
      <c r="MP56" s="4">
        <v>2118</v>
      </c>
      <c r="MQ56" s="4">
        <v>2124</v>
      </c>
      <c r="MR56" s="4">
        <v>2130</v>
      </c>
      <c r="MS56" s="4">
        <v>2136</v>
      </c>
      <c r="MT56" s="4">
        <v>2142</v>
      </c>
      <c r="MU56" s="4">
        <v>2148</v>
      </c>
      <c r="MV56" s="4">
        <v>2154</v>
      </c>
      <c r="MW56" s="4">
        <v>2160</v>
      </c>
      <c r="MX56" s="4">
        <v>2166</v>
      </c>
      <c r="MY56" s="4">
        <v>2172</v>
      </c>
      <c r="MZ56" s="4">
        <v>2178</v>
      </c>
      <c r="NA56" s="4">
        <v>2184</v>
      </c>
      <c r="NB56" s="4">
        <v>2190</v>
      </c>
      <c r="NC56" s="4">
        <v>2196</v>
      </c>
      <c r="ND56" s="4">
        <v>2202</v>
      </c>
      <c r="NE56" s="4">
        <v>2208</v>
      </c>
      <c r="NF56" s="4">
        <v>2214</v>
      </c>
      <c r="NG56" s="4">
        <v>2220</v>
      </c>
      <c r="NH56" s="4">
        <v>2226</v>
      </c>
      <c r="NI56" s="4">
        <v>2232</v>
      </c>
      <c r="NJ56" s="4">
        <v>2238</v>
      </c>
      <c r="NK56" s="4">
        <v>2244</v>
      </c>
      <c r="NL56" s="4">
        <v>2250</v>
      </c>
      <c r="NM56" s="4">
        <v>2256</v>
      </c>
      <c r="NN56" s="4">
        <v>2262</v>
      </c>
      <c r="NO56" s="4">
        <v>2268</v>
      </c>
      <c r="NP56" s="4">
        <v>2274</v>
      </c>
      <c r="NQ56" s="4">
        <v>2280</v>
      </c>
      <c r="NR56" s="4">
        <v>2286</v>
      </c>
      <c r="NS56" s="4">
        <v>2292</v>
      </c>
      <c r="NT56" s="4">
        <v>2298</v>
      </c>
      <c r="NU56" s="4">
        <v>2304</v>
      </c>
      <c r="NV56" s="4">
        <v>2310</v>
      </c>
      <c r="NW56" s="4">
        <v>2316</v>
      </c>
      <c r="NX56" s="4">
        <v>2322</v>
      </c>
      <c r="NY56" s="4">
        <v>2328</v>
      </c>
      <c r="NZ56" s="4">
        <v>2334</v>
      </c>
      <c r="OA56" s="4">
        <v>2340</v>
      </c>
      <c r="OB56" s="4">
        <v>2346</v>
      </c>
      <c r="OC56" s="4">
        <v>2352</v>
      </c>
      <c r="OD56" s="4">
        <v>2358</v>
      </c>
      <c r="OE56" s="4">
        <v>2364</v>
      </c>
      <c r="OF56" s="4">
        <v>2370</v>
      </c>
      <c r="OG56" s="4">
        <v>2376</v>
      </c>
      <c r="OH56" s="4">
        <v>2382</v>
      </c>
      <c r="OI56" s="4">
        <v>2388</v>
      </c>
      <c r="OJ56" s="4">
        <v>2394</v>
      </c>
      <c r="OK56" s="4">
        <v>2400</v>
      </c>
      <c r="OL56" s="4">
        <v>2406</v>
      </c>
      <c r="OM56" s="4">
        <v>2412</v>
      </c>
      <c r="ON56" s="4">
        <v>2418</v>
      </c>
      <c r="OO56" s="4">
        <v>2424</v>
      </c>
      <c r="OP56" s="4">
        <v>2430</v>
      </c>
      <c r="OQ56" s="4">
        <v>2436</v>
      </c>
      <c r="OR56" s="4">
        <v>2442</v>
      </c>
      <c r="OS56" s="4">
        <v>2448</v>
      </c>
      <c r="OT56" s="4">
        <v>2454</v>
      </c>
      <c r="OU56" s="4">
        <v>2460</v>
      </c>
      <c r="OV56" s="4">
        <v>2466</v>
      </c>
      <c r="OW56" s="4">
        <v>2472</v>
      </c>
      <c r="OX56" s="4">
        <v>2478</v>
      </c>
      <c r="OY56" s="4">
        <v>2484</v>
      </c>
      <c r="OZ56" s="4">
        <v>2490</v>
      </c>
      <c r="PA56" s="4">
        <v>2496</v>
      </c>
      <c r="PB56" s="4">
        <v>2502</v>
      </c>
      <c r="PC56" s="4">
        <v>2508</v>
      </c>
      <c r="PD56" s="4">
        <v>2514</v>
      </c>
      <c r="PE56" s="4">
        <v>2520</v>
      </c>
      <c r="PF56" s="4">
        <v>2526</v>
      </c>
      <c r="PG56" s="4">
        <v>2532</v>
      </c>
      <c r="PH56" s="4">
        <v>2538</v>
      </c>
      <c r="PI56" s="4">
        <v>2544</v>
      </c>
      <c r="PJ56" s="4">
        <v>2550</v>
      </c>
      <c r="PK56" s="4">
        <v>2556</v>
      </c>
      <c r="PL56" s="4">
        <v>2562</v>
      </c>
      <c r="PM56" s="4">
        <v>2568</v>
      </c>
      <c r="PN56" s="4">
        <v>2574</v>
      </c>
      <c r="PO56" s="4">
        <v>2580</v>
      </c>
      <c r="PP56" s="4">
        <v>2586</v>
      </c>
      <c r="PQ56" s="4">
        <v>2592</v>
      </c>
      <c r="PR56" s="4">
        <v>2598</v>
      </c>
      <c r="PS56" s="4">
        <v>2604</v>
      </c>
      <c r="PT56" s="4">
        <v>2610</v>
      </c>
      <c r="PU56" s="4">
        <v>2616</v>
      </c>
      <c r="PV56" s="4">
        <v>2622</v>
      </c>
      <c r="PW56" s="4">
        <v>2628</v>
      </c>
      <c r="PX56" s="4">
        <v>2634</v>
      </c>
      <c r="PY56" s="4">
        <v>2640</v>
      </c>
      <c r="PZ56" s="4">
        <v>2646</v>
      </c>
      <c r="QA56" s="4">
        <v>2652</v>
      </c>
      <c r="QB56" s="4">
        <v>2658</v>
      </c>
      <c r="QC56" s="4">
        <v>2664</v>
      </c>
      <c r="QD56" s="4">
        <v>2670</v>
      </c>
      <c r="QE56" s="4">
        <v>2676</v>
      </c>
      <c r="QF56" s="4">
        <v>2682</v>
      </c>
      <c r="QG56" s="4">
        <v>2688</v>
      </c>
      <c r="QH56" s="4">
        <v>2694</v>
      </c>
      <c r="QI56" s="4">
        <v>2700</v>
      </c>
      <c r="QJ56" s="4">
        <v>2706</v>
      </c>
      <c r="QK56" s="4">
        <v>2712</v>
      </c>
      <c r="QL56" s="4">
        <v>2718</v>
      </c>
      <c r="QM56" s="4">
        <v>2724</v>
      </c>
      <c r="QN56" s="4">
        <v>2730</v>
      </c>
      <c r="QO56" s="4">
        <v>2736</v>
      </c>
      <c r="QP56" s="4">
        <v>2742</v>
      </c>
      <c r="QQ56" s="4">
        <v>2748</v>
      </c>
      <c r="QR56" s="4">
        <v>2754</v>
      </c>
      <c r="QS56" s="4">
        <v>2760</v>
      </c>
      <c r="QT56" s="4">
        <v>2766</v>
      </c>
      <c r="QU56" s="4">
        <v>2772</v>
      </c>
      <c r="QV56" s="4">
        <v>2778</v>
      </c>
      <c r="QW56" s="4">
        <v>2784</v>
      </c>
      <c r="QX56" s="4">
        <v>2790</v>
      </c>
      <c r="QY56" s="4">
        <v>2796</v>
      </c>
      <c r="QZ56" s="4">
        <v>2802</v>
      </c>
      <c r="RA56" s="4">
        <v>2808</v>
      </c>
      <c r="RB56" s="4">
        <v>2814</v>
      </c>
      <c r="RC56" s="4">
        <v>2820</v>
      </c>
      <c r="RD56" s="4">
        <v>2826</v>
      </c>
      <c r="RE56" s="4">
        <v>2832</v>
      </c>
      <c r="RF56" s="4">
        <v>2838</v>
      </c>
      <c r="RG56" s="4">
        <v>2844</v>
      </c>
      <c r="RH56" s="4">
        <v>2850</v>
      </c>
      <c r="RI56" s="4">
        <v>2856</v>
      </c>
      <c r="RJ56" s="4">
        <v>2862</v>
      </c>
      <c r="RK56" s="4">
        <v>2868</v>
      </c>
      <c r="RL56" s="4">
        <v>2874</v>
      </c>
      <c r="RM56" s="4">
        <v>2880</v>
      </c>
      <c r="RN56" s="4">
        <v>2886</v>
      </c>
      <c r="RO56" s="4">
        <v>2892</v>
      </c>
      <c r="RP56" s="4">
        <v>2898</v>
      </c>
      <c r="RQ56" s="4">
        <v>2904</v>
      </c>
      <c r="RR56" s="4">
        <v>2910</v>
      </c>
      <c r="RS56" s="4">
        <v>2916</v>
      </c>
      <c r="RT56" s="4">
        <v>2922</v>
      </c>
      <c r="RU56" s="4">
        <v>2928</v>
      </c>
      <c r="RV56" s="4">
        <v>2934</v>
      </c>
      <c r="RW56" s="4">
        <v>2940</v>
      </c>
      <c r="RX56" s="4">
        <v>2946</v>
      </c>
      <c r="RY56" s="4">
        <v>2952</v>
      </c>
      <c r="RZ56" s="4">
        <v>2958</v>
      </c>
      <c r="SA56" s="4">
        <v>2964</v>
      </c>
      <c r="SB56" s="4">
        <v>2970</v>
      </c>
      <c r="SC56" s="4">
        <v>2976</v>
      </c>
      <c r="SD56" s="4">
        <v>2982</v>
      </c>
      <c r="SE56" s="4">
        <v>2988</v>
      </c>
      <c r="SF56" s="4">
        <v>2994</v>
      </c>
      <c r="SG56" s="4">
        <v>3000</v>
      </c>
    </row>
    <row r="57" spans="1:501" ht="11.25" customHeight="1" x14ac:dyDescent="0.25">
      <c r="A57" s="15"/>
      <c r="B57" s="16"/>
      <c r="C57" s="16"/>
      <c r="D57" s="17"/>
      <c r="E57" s="17"/>
      <c r="F57" s="17"/>
      <c r="G57" s="17"/>
      <c r="H57" s="17"/>
      <c r="I57" s="16"/>
      <c r="J57" s="18"/>
    </row>
    <row r="58" spans="1:501" ht="11.25" customHeight="1" x14ac:dyDescent="0.25">
      <c r="A58" s="19"/>
      <c r="B58" s="14"/>
      <c r="C58" s="14"/>
      <c r="D58" s="14"/>
      <c r="E58" s="14"/>
      <c r="F58" s="14"/>
      <c r="G58" s="14"/>
      <c r="H58" s="14"/>
      <c r="I58" s="14"/>
      <c r="J58" s="20"/>
    </row>
    <row r="59" spans="1:501" ht="11.25" customHeight="1" x14ac:dyDescent="0.25">
      <c r="A59" s="19"/>
      <c r="B59" s="14"/>
      <c r="C59" s="14"/>
      <c r="D59" s="14"/>
      <c r="E59" s="14"/>
      <c r="F59" s="14"/>
      <c r="G59" s="14"/>
      <c r="H59" s="14"/>
      <c r="I59" s="14"/>
      <c r="J59" s="20"/>
    </row>
    <row r="60" spans="1:501" ht="11.25" customHeight="1" x14ac:dyDescent="0.25">
      <c r="A60" s="19"/>
      <c r="B60" s="14"/>
      <c r="C60" s="14"/>
      <c r="D60" s="14"/>
      <c r="E60" s="14"/>
      <c r="F60" s="14"/>
      <c r="G60" s="14"/>
      <c r="H60" s="14"/>
      <c r="I60" s="14"/>
      <c r="J60" s="20"/>
    </row>
    <row r="61" spans="1:501" ht="11.25" customHeight="1" x14ac:dyDescent="0.25">
      <c r="A61" s="19"/>
      <c r="B61" s="14"/>
      <c r="C61" s="14"/>
      <c r="D61" s="14"/>
      <c r="E61" s="14"/>
      <c r="F61" s="14"/>
      <c r="G61" s="14"/>
      <c r="H61" s="14"/>
      <c r="I61" s="14"/>
      <c r="J61" s="20"/>
    </row>
    <row r="62" spans="1:501" ht="11.25" customHeight="1" x14ac:dyDescent="0.25">
      <c r="A62" s="19"/>
      <c r="B62" s="14"/>
      <c r="C62" s="14"/>
      <c r="D62" s="14"/>
      <c r="E62" s="14"/>
      <c r="F62" s="14"/>
      <c r="G62" s="14"/>
      <c r="H62" s="14"/>
      <c r="I62" s="14"/>
      <c r="J62" s="20"/>
    </row>
    <row r="63" spans="1:501" ht="11.25" customHeight="1" x14ac:dyDescent="0.25">
      <c r="A63" s="19"/>
      <c r="B63" s="14"/>
      <c r="C63" s="14"/>
      <c r="D63" s="14"/>
      <c r="E63" s="14"/>
      <c r="F63" s="14"/>
      <c r="G63" s="14"/>
      <c r="H63" s="14"/>
      <c r="I63" s="14"/>
      <c r="J63" s="20"/>
    </row>
    <row r="64" spans="1:501" ht="11.25" customHeight="1" x14ac:dyDescent="0.25">
      <c r="A64" s="21"/>
      <c r="B64" s="22"/>
      <c r="C64" s="22"/>
      <c r="D64" s="22"/>
      <c r="E64" s="22"/>
      <c r="F64" s="22"/>
      <c r="G64" s="22"/>
      <c r="H64" s="22"/>
      <c r="I64" s="22"/>
      <c r="J64" s="23"/>
    </row>
    <row r="65" spans="1:1" ht="9.75" customHeight="1" x14ac:dyDescent="0.25">
      <c r="A65" s="70" t="s">
        <v>73</v>
      </c>
    </row>
    <row r="66" spans="1:1" ht="9.75" customHeight="1" x14ac:dyDescent="0.25">
      <c r="A66" s="1">
        <v>49</v>
      </c>
    </row>
    <row r="67" spans="1:1" ht="9.75" customHeight="1" x14ac:dyDescent="0.25">
      <c r="A67" s="1">
        <v>100</v>
      </c>
    </row>
    <row r="68" spans="1:1" ht="9.75" customHeight="1" x14ac:dyDescent="0.25">
      <c r="A68" s="1">
        <v>167</v>
      </c>
    </row>
  </sheetData>
  <pageMargins left="0.23622047244094491" right="0.23622047244094491" top="1.5354330708661419" bottom="0.55118110236220474" header="0.31496062992125984" footer="0.31496062992125984"/>
  <pageSetup paperSize="8" orientation="landscape" r:id="rId1"/>
  <headerFooter>
    <oddHeader>&amp;L&amp;G&amp;REgernsund Tegl - &amp;A</oddHeader>
    <oddFooter>&amp;R&amp;D
&amp;P ud af &amp;N</oddFooter>
  </headerFooter>
  <colBreaks count="1" manualBreakCount="1">
    <brk id="102" max="55"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5057" r:id="rId5" name="Button 1">
              <controlPr defaultSize="0" print="0" autoFill="0" autoPict="0" macro="[0]!indtast_vindue">
                <anchor moveWithCells="1" sizeWithCells="1">
                  <from>
                    <xdr:col>0</xdr:col>
                    <xdr:colOff>57150</xdr:colOff>
                    <xdr:row>56</xdr:row>
                    <xdr:rowOff>57150</xdr:rowOff>
                  </from>
                  <to>
                    <xdr:col>9</xdr:col>
                    <xdr:colOff>9525</xdr:colOff>
                    <xdr:row>58</xdr:row>
                    <xdr:rowOff>76200</xdr:rowOff>
                  </to>
                </anchor>
              </controlPr>
            </control>
          </mc:Choice>
        </mc:AlternateContent>
        <mc:AlternateContent xmlns:mc="http://schemas.openxmlformats.org/markup-compatibility/2006">
          <mc:Choice Requires="x14">
            <control shapeId="45058" r:id="rId6" name="Button 2">
              <controlPr defaultSize="0" print="0" autoFill="0" autoPict="0" macro="[0]!lav_pdf">
                <anchor moveWithCells="1" sizeWithCells="1">
                  <from>
                    <xdr:col>0</xdr:col>
                    <xdr:colOff>57150</xdr:colOff>
                    <xdr:row>58</xdr:row>
                    <xdr:rowOff>133350</xdr:rowOff>
                  </from>
                  <to>
                    <xdr:col>9</xdr:col>
                    <xdr:colOff>9525</xdr:colOff>
                    <xdr:row>61</xdr:row>
                    <xdr:rowOff>9525</xdr:rowOff>
                  </to>
                </anchor>
              </controlPr>
            </control>
          </mc:Choice>
        </mc:AlternateContent>
        <mc:AlternateContent xmlns:mc="http://schemas.openxmlformats.org/markup-compatibility/2006">
          <mc:Choice Requires="x14">
            <control shapeId="45059" r:id="rId7" name="Button 3">
              <controlPr defaultSize="0" print="0" autoFill="0" autoPict="0" macro="[0]!lav_pdfer">
                <anchor moveWithCells="1" sizeWithCells="1">
                  <from>
                    <xdr:col>0</xdr:col>
                    <xdr:colOff>57150</xdr:colOff>
                    <xdr:row>61</xdr:row>
                    <xdr:rowOff>66675</xdr:rowOff>
                  </from>
                  <to>
                    <xdr:col>9</xdr:col>
                    <xdr:colOff>9525</xdr:colOff>
                    <xdr:row>63</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3">
    <tabColor rgb="FFFFFF00"/>
  </sheetPr>
  <dimension ref="A1:SG68"/>
  <sheetViews>
    <sheetView showGridLines="0" zoomScale="70" zoomScaleNormal="70" workbookViewId="0"/>
  </sheetViews>
  <sheetFormatPr defaultColWidth="1.7109375" defaultRowHeight="9.75" customHeight="1" x14ac:dyDescent="0.25"/>
  <cols>
    <col min="1" max="1" width="8.5703125" style="1" customWidth="1"/>
    <col min="2" max="185" width="1.7109375" style="2" customWidth="1"/>
    <col min="186" max="501" width="1.7109375" style="2" hidden="1" customWidth="1"/>
    <col min="502" max="502" width="0" style="2" hidden="1" customWidth="1"/>
    <col min="503" max="16384" width="1.7109375" style="2"/>
  </cols>
  <sheetData>
    <row r="1" spans="1:185" ht="30" customHeight="1" x14ac:dyDescent="0.25">
      <c r="B1" s="5" t="s">
        <v>94</v>
      </c>
    </row>
    <row r="2" spans="1:185" s="1" customFormat="1" ht="9.75" customHeight="1" thickBot="1" x14ac:dyDescent="0.25">
      <c r="A2" s="3">
        <v>360</v>
      </c>
      <c r="B2" s="108"/>
      <c r="C2" s="97"/>
      <c r="D2" s="104"/>
      <c r="E2" s="97"/>
      <c r="F2" s="97"/>
      <c r="G2" s="96"/>
      <c r="H2" s="97"/>
      <c r="I2" s="97"/>
      <c r="J2" s="97"/>
      <c r="K2" s="96"/>
      <c r="L2" s="97"/>
      <c r="M2" s="97"/>
      <c r="N2" s="97"/>
      <c r="O2" s="96"/>
      <c r="P2" s="97"/>
      <c r="Q2" s="97"/>
      <c r="R2" s="97"/>
      <c r="S2" s="96"/>
      <c r="T2" s="97"/>
      <c r="U2" s="97"/>
      <c r="V2" s="97"/>
      <c r="W2" s="96"/>
      <c r="X2" s="97"/>
      <c r="Y2" s="97"/>
      <c r="Z2" s="97"/>
      <c r="AA2" s="96"/>
      <c r="AB2" s="97"/>
      <c r="AC2" s="97"/>
      <c r="AD2" s="97"/>
      <c r="AE2" s="96"/>
      <c r="AF2" s="97"/>
      <c r="AG2" s="97"/>
      <c r="AH2" s="97"/>
      <c r="AI2" s="96"/>
      <c r="AJ2" s="97"/>
      <c r="AK2" s="97"/>
      <c r="AL2" s="97"/>
      <c r="AM2" s="96"/>
      <c r="AN2" s="97"/>
      <c r="AO2" s="97"/>
      <c r="AP2" s="97"/>
      <c r="AQ2" s="96"/>
      <c r="AR2" s="97"/>
      <c r="AS2" s="97"/>
      <c r="AT2" s="97"/>
      <c r="AU2" s="96"/>
      <c r="AV2" s="97"/>
      <c r="AW2" s="97"/>
      <c r="AX2" s="97"/>
      <c r="AY2" s="96"/>
      <c r="AZ2" s="97"/>
      <c r="BA2" s="97"/>
      <c r="BB2" s="97"/>
      <c r="BC2" s="96"/>
      <c r="BD2" s="97"/>
      <c r="BE2" s="97"/>
      <c r="BF2" s="97"/>
      <c r="BG2" s="96"/>
      <c r="BH2" s="97"/>
      <c r="BI2" s="97"/>
      <c r="BJ2" s="97"/>
      <c r="BK2" s="96"/>
      <c r="BL2" s="97"/>
      <c r="BM2" s="97"/>
      <c r="BN2" s="97"/>
      <c r="BO2" s="96"/>
      <c r="BP2" s="97"/>
      <c r="BQ2" s="97"/>
      <c r="BR2" s="97"/>
      <c r="BS2" s="96"/>
      <c r="BT2" s="97"/>
      <c r="BU2" s="97"/>
      <c r="BV2" s="97"/>
      <c r="BW2" s="96"/>
      <c r="BX2" s="97"/>
      <c r="BY2" s="97"/>
      <c r="BZ2" s="97"/>
      <c r="CA2" s="96"/>
      <c r="CB2" s="97"/>
      <c r="CC2" s="97"/>
      <c r="CD2" s="97"/>
      <c r="CE2" s="96"/>
      <c r="CF2" s="97"/>
      <c r="CG2" s="97"/>
      <c r="CH2" s="97"/>
      <c r="CI2" s="96"/>
      <c r="CJ2" s="97"/>
      <c r="CK2" s="97"/>
      <c r="CL2" s="97"/>
      <c r="CM2" s="96"/>
      <c r="CN2" s="97"/>
      <c r="CO2" s="97"/>
      <c r="CP2" s="97"/>
      <c r="CQ2" s="96"/>
      <c r="CR2" s="97"/>
      <c r="CS2" s="97"/>
      <c r="CT2" s="97"/>
      <c r="CU2" s="96"/>
      <c r="CV2" s="97"/>
      <c r="CW2" s="97"/>
      <c r="CX2" s="97"/>
      <c r="CY2" s="96"/>
      <c r="CZ2" s="97"/>
      <c r="DA2" s="97"/>
      <c r="DB2" s="97"/>
      <c r="DC2" s="96"/>
      <c r="DD2" s="97"/>
      <c r="DE2" s="97"/>
      <c r="DF2" s="97"/>
      <c r="DG2" s="96"/>
      <c r="DH2" s="97"/>
      <c r="DI2" s="97"/>
      <c r="DJ2" s="97"/>
      <c r="DK2" s="96"/>
      <c r="DL2" s="97"/>
      <c r="DM2" s="97"/>
      <c r="DN2" s="97"/>
      <c r="DO2" s="96"/>
      <c r="DP2" s="97"/>
      <c r="DQ2" s="97"/>
      <c r="DR2" s="97"/>
      <c r="DS2" s="96"/>
      <c r="DT2" s="97"/>
      <c r="DU2" s="97"/>
      <c r="DV2" s="97"/>
      <c r="DW2" s="96"/>
      <c r="DX2" s="97"/>
      <c r="DY2" s="97"/>
      <c r="DZ2" s="97"/>
      <c r="EA2" s="96"/>
      <c r="EB2" s="97"/>
      <c r="EC2" s="97"/>
      <c r="ED2" s="97"/>
      <c r="EE2" s="96"/>
      <c r="EF2" s="97"/>
      <c r="EG2" s="97"/>
      <c r="EH2" s="97"/>
      <c r="EI2" s="96"/>
      <c r="EJ2" s="97"/>
      <c r="EK2" s="97"/>
      <c r="EL2" s="97"/>
      <c r="EM2" s="96"/>
      <c r="EN2" s="97"/>
      <c r="EO2" s="97"/>
      <c r="EP2" s="97"/>
      <c r="EQ2" s="96"/>
      <c r="ER2" s="97"/>
      <c r="ES2" s="97"/>
      <c r="ET2" s="97"/>
      <c r="EU2" s="96"/>
      <c r="EV2" s="97"/>
      <c r="EW2" s="97"/>
      <c r="EX2" s="97"/>
      <c r="EY2" s="96"/>
      <c r="EZ2" s="97"/>
      <c r="FA2" s="97"/>
      <c r="FB2" s="97"/>
      <c r="FC2" s="96"/>
      <c r="FD2" s="97"/>
      <c r="FE2" s="97"/>
      <c r="FF2" s="97"/>
      <c r="FG2" s="96"/>
      <c r="FH2" s="97"/>
      <c r="FI2" s="97"/>
      <c r="FJ2" s="97"/>
      <c r="FK2" s="96"/>
      <c r="FL2" s="97"/>
      <c r="FM2" s="97"/>
      <c r="FN2" s="97"/>
      <c r="FO2" s="96"/>
      <c r="FP2" s="97"/>
      <c r="FQ2" s="97"/>
      <c r="FR2" s="97"/>
      <c r="FS2" s="96"/>
      <c r="FT2" s="97"/>
      <c r="FU2" s="97"/>
      <c r="FV2" s="97"/>
      <c r="FW2" s="96"/>
      <c r="FX2" s="97"/>
      <c r="FY2" s="97"/>
      <c r="FZ2" s="97"/>
      <c r="GA2" s="96"/>
      <c r="GB2" s="97"/>
      <c r="GC2" s="109"/>
    </row>
    <row r="3" spans="1:185" s="1" customFormat="1" ht="9.75" customHeight="1" thickBot="1" x14ac:dyDescent="0.25">
      <c r="A3" s="3">
        <v>353.3</v>
      </c>
      <c r="B3" s="103"/>
      <c r="C3" s="95"/>
      <c r="D3" s="92"/>
      <c r="E3" s="92"/>
      <c r="F3" s="92"/>
      <c r="G3" s="92"/>
      <c r="H3" s="91"/>
      <c r="I3" s="92"/>
      <c r="J3" s="92"/>
      <c r="K3" s="92"/>
      <c r="L3" s="91"/>
      <c r="M3" s="92"/>
      <c r="N3" s="92"/>
      <c r="O3" s="92"/>
      <c r="P3" s="91"/>
      <c r="Q3" s="92"/>
      <c r="R3" s="92"/>
      <c r="S3" s="92"/>
      <c r="T3" s="91"/>
      <c r="U3" s="92"/>
      <c r="V3" s="92"/>
      <c r="W3" s="92"/>
      <c r="X3" s="91"/>
      <c r="Y3" s="92"/>
      <c r="Z3" s="92"/>
      <c r="AA3" s="92"/>
      <c r="AB3" s="91"/>
      <c r="AC3" s="92"/>
      <c r="AD3" s="92"/>
      <c r="AE3" s="92"/>
      <c r="AF3" s="91"/>
      <c r="AG3" s="92"/>
      <c r="AH3" s="92"/>
      <c r="AI3" s="92"/>
      <c r="AJ3" s="91"/>
      <c r="AK3" s="92"/>
      <c r="AL3" s="92"/>
      <c r="AM3" s="92"/>
      <c r="AN3" s="91"/>
      <c r="AO3" s="92"/>
      <c r="AP3" s="92"/>
      <c r="AQ3" s="92"/>
      <c r="AR3" s="91"/>
      <c r="AS3" s="92"/>
      <c r="AT3" s="92"/>
      <c r="AU3" s="92"/>
      <c r="AV3" s="91"/>
      <c r="AW3" s="92"/>
      <c r="AX3" s="92"/>
      <c r="AY3" s="92"/>
      <c r="AZ3" s="91"/>
      <c r="BA3" s="92"/>
      <c r="BB3" s="92"/>
      <c r="BC3" s="92"/>
      <c r="BD3" s="91"/>
      <c r="BE3" s="92"/>
      <c r="BF3" s="92"/>
      <c r="BG3" s="92"/>
      <c r="BH3" s="91"/>
      <c r="BI3" s="92"/>
      <c r="BJ3" s="92"/>
      <c r="BK3" s="92"/>
      <c r="BL3" s="91"/>
      <c r="BM3" s="92"/>
      <c r="BN3" s="92"/>
      <c r="BO3" s="92"/>
      <c r="BP3" s="91"/>
      <c r="BQ3" s="92"/>
      <c r="BR3" s="92"/>
      <c r="BS3" s="92"/>
      <c r="BT3" s="91"/>
      <c r="BU3" s="92"/>
      <c r="BV3" s="92"/>
      <c r="BW3" s="92"/>
      <c r="BX3" s="91"/>
      <c r="BY3" s="92"/>
      <c r="BZ3" s="92"/>
      <c r="CA3" s="92"/>
      <c r="CB3" s="91"/>
      <c r="CC3" s="92"/>
      <c r="CD3" s="92"/>
      <c r="CE3" s="92"/>
      <c r="CF3" s="91"/>
      <c r="CG3" s="92"/>
      <c r="CH3" s="92"/>
      <c r="CI3" s="92"/>
      <c r="CJ3" s="91"/>
      <c r="CK3" s="92"/>
      <c r="CL3" s="92"/>
      <c r="CM3" s="92"/>
      <c r="CN3" s="91"/>
      <c r="CO3" s="92"/>
      <c r="CP3" s="92"/>
      <c r="CQ3" s="92"/>
      <c r="CR3" s="91"/>
      <c r="CS3" s="92"/>
      <c r="CT3" s="92"/>
      <c r="CU3" s="92"/>
      <c r="CV3" s="91"/>
      <c r="CW3" s="92"/>
      <c r="CX3" s="92"/>
      <c r="CY3" s="92"/>
      <c r="CZ3" s="91"/>
      <c r="DA3" s="92"/>
      <c r="DB3" s="92"/>
      <c r="DC3" s="92"/>
      <c r="DD3" s="91"/>
      <c r="DE3" s="92"/>
      <c r="DF3" s="92"/>
      <c r="DG3" s="92"/>
      <c r="DH3" s="91"/>
      <c r="DI3" s="92"/>
      <c r="DJ3" s="92"/>
      <c r="DK3" s="92"/>
      <c r="DL3" s="91"/>
      <c r="DM3" s="92"/>
      <c r="DN3" s="92"/>
      <c r="DO3" s="92"/>
      <c r="DP3" s="91"/>
      <c r="DQ3" s="92"/>
      <c r="DR3" s="92"/>
      <c r="DS3" s="92"/>
      <c r="DT3" s="91"/>
      <c r="DU3" s="92"/>
      <c r="DV3" s="92"/>
      <c r="DW3" s="92"/>
      <c r="DX3" s="91"/>
      <c r="DY3" s="92"/>
      <c r="DZ3" s="92"/>
      <c r="EA3" s="92"/>
      <c r="EB3" s="91"/>
      <c r="EC3" s="92"/>
      <c r="ED3" s="92"/>
      <c r="EE3" s="92"/>
      <c r="EF3" s="91"/>
      <c r="EG3" s="92"/>
      <c r="EH3" s="92"/>
      <c r="EI3" s="92"/>
      <c r="EJ3" s="91"/>
      <c r="EK3" s="92"/>
      <c r="EL3" s="92"/>
      <c r="EM3" s="92"/>
      <c r="EN3" s="91"/>
      <c r="EO3" s="92"/>
      <c r="EP3" s="92"/>
      <c r="EQ3" s="92"/>
      <c r="ER3" s="91"/>
      <c r="ES3" s="92"/>
      <c r="ET3" s="92"/>
      <c r="EU3" s="92"/>
      <c r="EV3" s="91"/>
      <c r="EW3" s="92"/>
      <c r="EX3" s="92"/>
      <c r="EY3" s="92"/>
      <c r="EZ3" s="91"/>
      <c r="FA3" s="92"/>
      <c r="FB3" s="92"/>
      <c r="FC3" s="92"/>
      <c r="FD3" s="91"/>
      <c r="FE3" s="92"/>
      <c r="FF3" s="92"/>
      <c r="FG3" s="92"/>
      <c r="FH3" s="91"/>
      <c r="FI3" s="92"/>
      <c r="FJ3" s="92"/>
      <c r="FK3" s="92"/>
      <c r="FL3" s="91"/>
      <c r="FM3" s="92"/>
      <c r="FN3" s="92"/>
      <c r="FO3" s="92"/>
      <c r="FP3" s="91"/>
      <c r="FQ3" s="92"/>
      <c r="FR3" s="92"/>
      <c r="FS3" s="92"/>
      <c r="FT3" s="91"/>
      <c r="FU3" s="92"/>
      <c r="FV3" s="92"/>
      <c r="FW3" s="92"/>
      <c r="FX3" s="91"/>
      <c r="FY3" s="92"/>
      <c r="FZ3" s="92"/>
      <c r="GA3" s="92"/>
      <c r="GB3" s="91"/>
      <c r="GC3" s="94"/>
    </row>
    <row r="4" spans="1:185" s="1" customFormat="1" ht="9.75" customHeight="1" thickBot="1" x14ac:dyDescent="0.25">
      <c r="A4" s="3">
        <v>346.7</v>
      </c>
      <c r="B4" s="107"/>
      <c r="C4" s="99"/>
      <c r="D4" s="101"/>
      <c r="E4" s="99"/>
      <c r="F4" s="99"/>
      <c r="G4" s="98"/>
      <c r="H4" s="99"/>
      <c r="I4" s="99"/>
      <c r="J4" s="99"/>
      <c r="K4" s="98"/>
      <c r="L4" s="99"/>
      <c r="M4" s="99"/>
      <c r="N4" s="99"/>
      <c r="O4" s="98"/>
      <c r="P4" s="99"/>
      <c r="Q4" s="99"/>
      <c r="R4" s="99"/>
      <c r="S4" s="98"/>
      <c r="T4" s="99"/>
      <c r="U4" s="99"/>
      <c r="V4" s="99"/>
      <c r="W4" s="98"/>
      <c r="X4" s="99"/>
      <c r="Y4" s="99"/>
      <c r="Z4" s="99"/>
      <c r="AA4" s="98"/>
      <c r="AB4" s="99"/>
      <c r="AC4" s="99"/>
      <c r="AD4" s="99"/>
      <c r="AE4" s="98"/>
      <c r="AF4" s="99"/>
      <c r="AG4" s="99"/>
      <c r="AH4" s="99"/>
      <c r="AI4" s="98"/>
      <c r="AJ4" s="99"/>
      <c r="AK4" s="99"/>
      <c r="AL4" s="99"/>
      <c r="AM4" s="98"/>
      <c r="AN4" s="99"/>
      <c r="AO4" s="99"/>
      <c r="AP4" s="99"/>
      <c r="AQ4" s="98"/>
      <c r="AR4" s="99"/>
      <c r="AS4" s="99"/>
      <c r="AT4" s="99"/>
      <c r="AU4" s="98"/>
      <c r="AV4" s="99"/>
      <c r="AW4" s="99"/>
      <c r="AX4" s="99"/>
      <c r="AY4" s="98"/>
      <c r="AZ4" s="99"/>
      <c r="BA4" s="99"/>
      <c r="BB4" s="99"/>
      <c r="BC4" s="98"/>
      <c r="BD4" s="99"/>
      <c r="BE4" s="99"/>
      <c r="BF4" s="99"/>
      <c r="BG4" s="98"/>
      <c r="BH4" s="99"/>
      <c r="BI4" s="99"/>
      <c r="BJ4" s="99"/>
      <c r="BK4" s="98"/>
      <c r="BL4" s="99"/>
      <c r="BM4" s="99"/>
      <c r="BN4" s="99"/>
      <c r="BO4" s="98"/>
      <c r="BP4" s="99"/>
      <c r="BQ4" s="99"/>
      <c r="BR4" s="99"/>
      <c r="BS4" s="98"/>
      <c r="BT4" s="99"/>
      <c r="BU4" s="99"/>
      <c r="BV4" s="99"/>
      <c r="BW4" s="98"/>
      <c r="BX4" s="99"/>
      <c r="BY4" s="99"/>
      <c r="BZ4" s="99"/>
      <c r="CA4" s="98"/>
      <c r="CB4" s="99"/>
      <c r="CC4" s="99"/>
      <c r="CD4" s="99"/>
      <c r="CE4" s="98"/>
      <c r="CF4" s="99"/>
      <c r="CG4" s="99"/>
      <c r="CH4" s="99"/>
      <c r="CI4" s="98"/>
      <c r="CJ4" s="99"/>
      <c r="CK4" s="99"/>
      <c r="CL4" s="99"/>
      <c r="CM4" s="98"/>
      <c r="CN4" s="99"/>
      <c r="CO4" s="99"/>
      <c r="CP4" s="99"/>
      <c r="CQ4" s="98"/>
      <c r="CR4" s="99"/>
      <c r="CS4" s="99"/>
      <c r="CT4" s="99"/>
      <c r="CU4" s="98"/>
      <c r="CV4" s="99"/>
      <c r="CW4" s="99"/>
      <c r="CX4" s="99"/>
      <c r="CY4" s="98"/>
      <c r="CZ4" s="99"/>
      <c r="DA4" s="99"/>
      <c r="DB4" s="99"/>
      <c r="DC4" s="98"/>
      <c r="DD4" s="99"/>
      <c r="DE4" s="99"/>
      <c r="DF4" s="99"/>
      <c r="DG4" s="98"/>
      <c r="DH4" s="99"/>
      <c r="DI4" s="99"/>
      <c r="DJ4" s="99"/>
      <c r="DK4" s="98"/>
      <c r="DL4" s="99"/>
      <c r="DM4" s="99"/>
      <c r="DN4" s="99"/>
      <c r="DO4" s="98"/>
      <c r="DP4" s="99"/>
      <c r="DQ4" s="99"/>
      <c r="DR4" s="99"/>
      <c r="DS4" s="98"/>
      <c r="DT4" s="99"/>
      <c r="DU4" s="99"/>
      <c r="DV4" s="99"/>
      <c r="DW4" s="98"/>
      <c r="DX4" s="99"/>
      <c r="DY4" s="99"/>
      <c r="DZ4" s="99"/>
      <c r="EA4" s="98"/>
      <c r="EB4" s="99"/>
      <c r="EC4" s="99"/>
      <c r="ED4" s="99"/>
      <c r="EE4" s="98"/>
      <c r="EF4" s="99"/>
      <c r="EG4" s="99"/>
      <c r="EH4" s="99"/>
      <c r="EI4" s="98"/>
      <c r="EJ4" s="99"/>
      <c r="EK4" s="99"/>
      <c r="EL4" s="99"/>
      <c r="EM4" s="98"/>
      <c r="EN4" s="99"/>
      <c r="EO4" s="99"/>
      <c r="EP4" s="99"/>
      <c r="EQ4" s="98"/>
      <c r="ER4" s="99"/>
      <c r="ES4" s="99"/>
      <c r="ET4" s="99"/>
      <c r="EU4" s="98"/>
      <c r="EV4" s="99"/>
      <c r="EW4" s="99"/>
      <c r="EX4" s="99"/>
      <c r="EY4" s="98"/>
      <c r="EZ4" s="99"/>
      <c r="FA4" s="99"/>
      <c r="FB4" s="99"/>
      <c r="FC4" s="98"/>
      <c r="FD4" s="99"/>
      <c r="FE4" s="99"/>
      <c r="FF4" s="99"/>
      <c r="FG4" s="98"/>
      <c r="FH4" s="99"/>
      <c r="FI4" s="99"/>
      <c r="FJ4" s="99"/>
      <c r="FK4" s="98"/>
      <c r="FL4" s="99"/>
      <c r="FM4" s="99"/>
      <c r="FN4" s="99"/>
      <c r="FO4" s="98"/>
      <c r="FP4" s="99"/>
      <c r="FQ4" s="99"/>
      <c r="FR4" s="99"/>
      <c r="FS4" s="98"/>
      <c r="FT4" s="99"/>
      <c r="FU4" s="99"/>
      <c r="FV4" s="99"/>
      <c r="FW4" s="98"/>
      <c r="FX4" s="99"/>
      <c r="FY4" s="99"/>
      <c r="FZ4" s="99"/>
      <c r="GA4" s="98"/>
      <c r="GB4" s="102"/>
      <c r="GC4" s="115"/>
    </row>
    <row r="5" spans="1:185" s="1" customFormat="1" ht="9.75" customHeight="1" thickBot="1" x14ac:dyDescent="0.25">
      <c r="A5" s="3">
        <v>340</v>
      </c>
      <c r="B5" s="103"/>
      <c r="C5" s="95"/>
      <c r="D5" s="71"/>
      <c r="E5" s="71"/>
      <c r="F5" s="91"/>
      <c r="G5" s="92"/>
      <c r="H5" s="92"/>
      <c r="I5" s="92"/>
      <c r="J5" s="91"/>
      <c r="K5" s="92"/>
      <c r="L5" s="92"/>
      <c r="M5" s="92"/>
      <c r="N5" s="91"/>
      <c r="O5" s="92"/>
      <c r="P5" s="92"/>
      <c r="Q5" s="92"/>
      <c r="R5" s="91"/>
      <c r="S5" s="92"/>
      <c r="T5" s="92"/>
      <c r="U5" s="92"/>
      <c r="V5" s="91"/>
      <c r="W5" s="92"/>
      <c r="X5" s="92"/>
      <c r="Y5" s="92"/>
      <c r="Z5" s="91"/>
      <c r="AA5" s="92"/>
      <c r="AB5" s="92"/>
      <c r="AC5" s="92"/>
      <c r="AD5" s="91"/>
      <c r="AE5" s="92"/>
      <c r="AF5" s="92"/>
      <c r="AG5" s="92"/>
      <c r="AH5" s="91"/>
      <c r="AI5" s="92"/>
      <c r="AJ5" s="92"/>
      <c r="AK5" s="92"/>
      <c r="AL5" s="91"/>
      <c r="AM5" s="92"/>
      <c r="AN5" s="92"/>
      <c r="AO5" s="92"/>
      <c r="AP5" s="91"/>
      <c r="AQ5" s="92"/>
      <c r="AR5" s="92"/>
      <c r="AS5" s="92"/>
      <c r="AT5" s="91"/>
      <c r="AU5" s="92"/>
      <c r="AV5" s="92"/>
      <c r="AW5" s="92"/>
      <c r="AX5" s="91"/>
      <c r="AY5" s="92"/>
      <c r="AZ5" s="92"/>
      <c r="BA5" s="92"/>
      <c r="BB5" s="91"/>
      <c r="BC5" s="92"/>
      <c r="BD5" s="92"/>
      <c r="BE5" s="92"/>
      <c r="BF5" s="91"/>
      <c r="BG5" s="92"/>
      <c r="BH5" s="92"/>
      <c r="BI5" s="92"/>
      <c r="BJ5" s="91"/>
      <c r="BK5" s="92"/>
      <c r="BL5" s="92"/>
      <c r="BM5" s="92"/>
      <c r="BN5" s="91"/>
      <c r="BO5" s="92"/>
      <c r="BP5" s="92"/>
      <c r="BQ5" s="92"/>
      <c r="BR5" s="91"/>
      <c r="BS5" s="92"/>
      <c r="BT5" s="92"/>
      <c r="BU5" s="92"/>
      <c r="BV5" s="91"/>
      <c r="BW5" s="92"/>
      <c r="BX5" s="92"/>
      <c r="BY5" s="92"/>
      <c r="BZ5" s="91"/>
      <c r="CA5" s="92"/>
      <c r="CB5" s="92"/>
      <c r="CC5" s="92"/>
      <c r="CD5" s="91"/>
      <c r="CE5" s="92"/>
      <c r="CF5" s="92"/>
      <c r="CG5" s="92"/>
      <c r="CH5" s="91"/>
      <c r="CI5" s="92"/>
      <c r="CJ5" s="92"/>
      <c r="CK5" s="92"/>
      <c r="CL5" s="91"/>
      <c r="CM5" s="92"/>
      <c r="CN5" s="92"/>
      <c r="CO5" s="92"/>
      <c r="CP5" s="91"/>
      <c r="CQ5" s="92"/>
      <c r="CR5" s="92"/>
      <c r="CS5" s="92"/>
      <c r="CT5" s="91"/>
      <c r="CU5" s="92"/>
      <c r="CV5" s="92"/>
      <c r="CW5" s="92"/>
      <c r="CX5" s="91"/>
      <c r="CY5" s="92"/>
      <c r="CZ5" s="92"/>
      <c r="DA5" s="92"/>
      <c r="DB5" s="91"/>
      <c r="DC5" s="92"/>
      <c r="DD5" s="92"/>
      <c r="DE5" s="92"/>
      <c r="DF5" s="91"/>
      <c r="DG5" s="92"/>
      <c r="DH5" s="92"/>
      <c r="DI5" s="92"/>
      <c r="DJ5" s="91"/>
      <c r="DK5" s="92"/>
      <c r="DL5" s="92"/>
      <c r="DM5" s="92"/>
      <c r="DN5" s="91"/>
      <c r="DO5" s="92"/>
      <c r="DP5" s="92"/>
      <c r="DQ5" s="92"/>
      <c r="DR5" s="91"/>
      <c r="DS5" s="92"/>
      <c r="DT5" s="92"/>
      <c r="DU5" s="92"/>
      <c r="DV5" s="91"/>
      <c r="DW5" s="92"/>
      <c r="DX5" s="92"/>
      <c r="DY5" s="92"/>
      <c r="DZ5" s="91"/>
      <c r="EA5" s="92"/>
      <c r="EB5" s="92"/>
      <c r="EC5" s="92"/>
      <c r="ED5" s="91"/>
      <c r="EE5" s="92"/>
      <c r="EF5" s="92"/>
      <c r="EG5" s="92"/>
      <c r="EH5" s="91"/>
      <c r="EI5" s="92"/>
      <c r="EJ5" s="92"/>
      <c r="EK5" s="92"/>
      <c r="EL5" s="91"/>
      <c r="EM5" s="92"/>
      <c r="EN5" s="92"/>
      <c r="EO5" s="92"/>
      <c r="EP5" s="91"/>
      <c r="EQ5" s="92"/>
      <c r="ER5" s="92"/>
      <c r="ES5" s="92"/>
      <c r="ET5" s="91"/>
      <c r="EU5" s="92"/>
      <c r="EV5" s="92"/>
      <c r="EW5" s="92"/>
      <c r="EX5" s="91"/>
      <c r="EY5" s="92"/>
      <c r="EZ5" s="92"/>
      <c r="FA5" s="92"/>
      <c r="FB5" s="91"/>
      <c r="FC5" s="92"/>
      <c r="FD5" s="92"/>
      <c r="FE5" s="92"/>
      <c r="FF5" s="91"/>
      <c r="FG5" s="92"/>
      <c r="FH5" s="92"/>
      <c r="FI5" s="92"/>
      <c r="FJ5" s="91"/>
      <c r="FK5" s="92"/>
      <c r="FL5" s="92"/>
      <c r="FM5" s="92"/>
      <c r="FN5" s="91"/>
      <c r="FO5" s="92"/>
      <c r="FP5" s="92"/>
      <c r="FQ5" s="92"/>
      <c r="FR5" s="91"/>
      <c r="FS5" s="92"/>
      <c r="FT5" s="92"/>
      <c r="FU5" s="92"/>
      <c r="FV5" s="91"/>
      <c r="FW5" s="92"/>
      <c r="FX5" s="92"/>
      <c r="FY5" s="92"/>
      <c r="FZ5" s="91"/>
      <c r="GA5" s="92"/>
      <c r="GB5" s="98"/>
      <c r="GC5" s="100"/>
    </row>
    <row r="6" spans="1:185" s="1" customFormat="1" ht="9.75" customHeight="1" thickBot="1" x14ac:dyDescent="0.25">
      <c r="A6" s="3">
        <v>333.3</v>
      </c>
      <c r="B6" s="103"/>
      <c r="C6" s="92"/>
      <c r="D6" s="101"/>
      <c r="E6" s="99"/>
      <c r="F6" s="92"/>
      <c r="G6" s="91"/>
      <c r="H6" s="92"/>
      <c r="I6" s="92"/>
      <c r="J6" s="92"/>
      <c r="K6" s="91"/>
      <c r="L6" s="92"/>
      <c r="M6" s="92"/>
      <c r="N6" s="92"/>
      <c r="O6" s="91"/>
      <c r="P6" s="92"/>
      <c r="Q6" s="92"/>
      <c r="R6" s="92"/>
      <c r="S6" s="91"/>
      <c r="T6" s="92"/>
      <c r="U6" s="92"/>
      <c r="V6" s="92"/>
      <c r="W6" s="91"/>
      <c r="X6" s="92"/>
      <c r="Y6" s="92"/>
      <c r="Z6" s="92"/>
      <c r="AA6" s="91"/>
      <c r="AB6" s="92"/>
      <c r="AC6" s="92"/>
      <c r="AD6" s="92"/>
      <c r="AE6" s="91"/>
      <c r="AF6" s="92"/>
      <c r="AG6" s="92"/>
      <c r="AH6" s="92"/>
      <c r="AI6" s="91"/>
      <c r="AJ6" s="92"/>
      <c r="AK6" s="92"/>
      <c r="AL6" s="92"/>
      <c r="AM6" s="91"/>
      <c r="AN6" s="92"/>
      <c r="AO6" s="92"/>
      <c r="AP6" s="92"/>
      <c r="AQ6" s="91"/>
      <c r="AR6" s="92"/>
      <c r="AS6" s="92"/>
      <c r="AT6" s="92"/>
      <c r="AU6" s="91"/>
      <c r="AV6" s="92"/>
      <c r="AW6" s="92"/>
      <c r="AX6" s="92"/>
      <c r="AY6" s="91"/>
      <c r="AZ6" s="92"/>
      <c r="BA6" s="92"/>
      <c r="BB6" s="92"/>
      <c r="BC6" s="91"/>
      <c r="BD6" s="92"/>
      <c r="BE6" s="92"/>
      <c r="BF6" s="92"/>
      <c r="BG6" s="91"/>
      <c r="BH6" s="92"/>
      <c r="BI6" s="92"/>
      <c r="BJ6" s="92"/>
      <c r="BK6" s="91"/>
      <c r="BL6" s="92"/>
      <c r="BM6" s="92"/>
      <c r="BN6" s="92"/>
      <c r="BO6" s="91"/>
      <c r="BP6" s="92"/>
      <c r="BQ6" s="92"/>
      <c r="BR6" s="92"/>
      <c r="BS6" s="91"/>
      <c r="BT6" s="92"/>
      <c r="BU6" s="92"/>
      <c r="BV6" s="92"/>
      <c r="BW6" s="91"/>
      <c r="BX6" s="92"/>
      <c r="BY6" s="92"/>
      <c r="BZ6" s="92"/>
      <c r="CA6" s="91"/>
      <c r="CB6" s="92"/>
      <c r="CC6" s="92"/>
      <c r="CD6" s="92"/>
      <c r="CE6" s="91"/>
      <c r="CF6" s="92"/>
      <c r="CG6" s="92"/>
      <c r="CH6" s="92"/>
      <c r="CI6" s="91"/>
      <c r="CJ6" s="92"/>
      <c r="CK6" s="92"/>
      <c r="CL6" s="92"/>
      <c r="CM6" s="91"/>
      <c r="CN6" s="92"/>
      <c r="CO6" s="92"/>
      <c r="CP6" s="92"/>
      <c r="CQ6" s="91"/>
      <c r="CR6" s="92"/>
      <c r="CS6" s="92"/>
      <c r="CT6" s="92"/>
      <c r="CU6" s="91"/>
      <c r="CV6" s="92"/>
      <c r="CW6" s="92"/>
      <c r="CX6" s="92"/>
      <c r="CY6" s="91"/>
      <c r="CZ6" s="92"/>
      <c r="DA6" s="92"/>
      <c r="DB6" s="92"/>
      <c r="DC6" s="91"/>
      <c r="DD6" s="92"/>
      <c r="DE6" s="92"/>
      <c r="DF6" s="92"/>
      <c r="DG6" s="91"/>
      <c r="DH6" s="92"/>
      <c r="DI6" s="92"/>
      <c r="DJ6" s="92"/>
      <c r="DK6" s="91"/>
      <c r="DL6" s="92"/>
      <c r="DM6" s="92"/>
      <c r="DN6" s="92"/>
      <c r="DO6" s="91"/>
      <c r="DP6" s="92"/>
      <c r="DQ6" s="92"/>
      <c r="DR6" s="92"/>
      <c r="DS6" s="91"/>
      <c r="DT6" s="92"/>
      <c r="DU6" s="92"/>
      <c r="DV6" s="92"/>
      <c r="DW6" s="91"/>
      <c r="DX6" s="92"/>
      <c r="DY6" s="92"/>
      <c r="DZ6" s="92"/>
      <c r="EA6" s="91"/>
      <c r="EB6" s="92"/>
      <c r="EC6" s="92"/>
      <c r="ED6" s="92"/>
      <c r="EE6" s="91"/>
      <c r="EF6" s="92"/>
      <c r="EG6" s="92"/>
      <c r="EH6" s="92"/>
      <c r="EI6" s="91"/>
      <c r="EJ6" s="92"/>
      <c r="EK6" s="92"/>
      <c r="EL6" s="92"/>
      <c r="EM6" s="91"/>
      <c r="EN6" s="92"/>
      <c r="EO6" s="92"/>
      <c r="EP6" s="92"/>
      <c r="EQ6" s="91"/>
      <c r="ER6" s="92"/>
      <c r="ES6" s="92"/>
      <c r="ET6" s="92"/>
      <c r="EU6" s="91"/>
      <c r="EV6" s="92"/>
      <c r="EW6" s="92"/>
      <c r="EX6" s="92"/>
      <c r="EY6" s="91"/>
      <c r="EZ6" s="92"/>
      <c r="FA6" s="92"/>
      <c r="FB6" s="92"/>
      <c r="FC6" s="91"/>
      <c r="FD6" s="92"/>
      <c r="FE6" s="92"/>
      <c r="FF6" s="92"/>
      <c r="FG6" s="91"/>
      <c r="FH6" s="92"/>
      <c r="FI6" s="92"/>
      <c r="FJ6" s="92"/>
      <c r="FK6" s="91"/>
      <c r="FL6" s="92"/>
      <c r="FM6" s="92"/>
      <c r="FN6" s="92"/>
      <c r="FO6" s="91"/>
      <c r="FP6" s="92"/>
      <c r="FQ6" s="92"/>
      <c r="FR6" s="92"/>
      <c r="FS6" s="91"/>
      <c r="FT6" s="92"/>
      <c r="FU6" s="92"/>
      <c r="FV6" s="92"/>
      <c r="FW6" s="91"/>
      <c r="FX6" s="92"/>
      <c r="FY6" s="92"/>
      <c r="FZ6" s="92"/>
      <c r="GA6" s="91"/>
      <c r="GB6" s="92"/>
      <c r="GC6" s="94"/>
    </row>
    <row r="7" spans="1:185" s="1" customFormat="1" ht="9.75" customHeight="1" thickBot="1" x14ac:dyDescent="0.25">
      <c r="A7" s="3">
        <v>326.7</v>
      </c>
      <c r="B7" s="103"/>
      <c r="C7" s="95"/>
      <c r="D7" s="92"/>
      <c r="E7" s="92"/>
      <c r="F7" s="92"/>
      <c r="G7" s="92"/>
      <c r="H7" s="91"/>
      <c r="I7" s="92"/>
      <c r="J7" s="92"/>
      <c r="K7" s="92"/>
      <c r="L7" s="91"/>
      <c r="M7" s="92"/>
      <c r="N7" s="92"/>
      <c r="O7" s="92"/>
      <c r="P7" s="91"/>
      <c r="Q7" s="92"/>
      <c r="R7" s="92"/>
      <c r="S7" s="92"/>
      <c r="T7" s="91"/>
      <c r="U7" s="92"/>
      <c r="V7" s="92"/>
      <c r="W7" s="92"/>
      <c r="X7" s="91"/>
      <c r="Y7" s="92"/>
      <c r="Z7" s="92"/>
      <c r="AA7" s="92"/>
      <c r="AB7" s="91"/>
      <c r="AC7" s="92"/>
      <c r="AD7" s="92"/>
      <c r="AE7" s="92"/>
      <c r="AF7" s="91"/>
      <c r="AG7" s="92"/>
      <c r="AH7" s="92"/>
      <c r="AI7" s="92"/>
      <c r="AJ7" s="91"/>
      <c r="AK7" s="92"/>
      <c r="AL7" s="92"/>
      <c r="AM7" s="92"/>
      <c r="AN7" s="91"/>
      <c r="AO7" s="92"/>
      <c r="AP7" s="92"/>
      <c r="AQ7" s="92"/>
      <c r="AR7" s="91"/>
      <c r="AS7" s="92"/>
      <c r="AT7" s="92"/>
      <c r="AU7" s="92"/>
      <c r="AV7" s="91"/>
      <c r="AW7" s="92"/>
      <c r="AX7" s="92"/>
      <c r="AY7" s="92"/>
      <c r="AZ7" s="91"/>
      <c r="BA7" s="92"/>
      <c r="BB7" s="92"/>
      <c r="BC7" s="92"/>
      <c r="BD7" s="91"/>
      <c r="BE7" s="92"/>
      <c r="BF7" s="92"/>
      <c r="BG7" s="92"/>
      <c r="BH7" s="91"/>
      <c r="BI7" s="92"/>
      <c r="BJ7" s="92"/>
      <c r="BK7" s="92"/>
      <c r="BL7" s="91"/>
      <c r="BM7" s="92"/>
      <c r="BN7" s="92"/>
      <c r="BO7" s="92"/>
      <c r="BP7" s="91"/>
      <c r="BQ7" s="92"/>
      <c r="BR7" s="92"/>
      <c r="BS7" s="92"/>
      <c r="BT7" s="91"/>
      <c r="BU7" s="92"/>
      <c r="BV7" s="92"/>
      <c r="BW7" s="92"/>
      <c r="BX7" s="91"/>
      <c r="BY7" s="92"/>
      <c r="BZ7" s="92"/>
      <c r="CA7" s="92"/>
      <c r="CB7" s="91"/>
      <c r="CC7" s="92"/>
      <c r="CD7" s="92"/>
      <c r="CE7" s="92"/>
      <c r="CF7" s="91"/>
      <c r="CG7" s="92"/>
      <c r="CH7" s="92"/>
      <c r="CI7" s="92"/>
      <c r="CJ7" s="91"/>
      <c r="CK7" s="92"/>
      <c r="CL7" s="92"/>
      <c r="CM7" s="92"/>
      <c r="CN7" s="91"/>
      <c r="CO7" s="92"/>
      <c r="CP7" s="92"/>
      <c r="CQ7" s="92"/>
      <c r="CR7" s="91"/>
      <c r="CS7" s="92"/>
      <c r="CT7" s="92"/>
      <c r="CU7" s="92"/>
      <c r="CV7" s="91"/>
      <c r="CW7" s="92"/>
      <c r="CX7" s="92"/>
      <c r="CY7" s="92"/>
      <c r="CZ7" s="91"/>
      <c r="DA7" s="92"/>
      <c r="DB7" s="92"/>
      <c r="DC7" s="92"/>
      <c r="DD7" s="91"/>
      <c r="DE7" s="92"/>
      <c r="DF7" s="92"/>
      <c r="DG7" s="92"/>
      <c r="DH7" s="91"/>
      <c r="DI7" s="92"/>
      <c r="DJ7" s="92"/>
      <c r="DK7" s="92"/>
      <c r="DL7" s="91"/>
      <c r="DM7" s="92"/>
      <c r="DN7" s="92"/>
      <c r="DO7" s="92"/>
      <c r="DP7" s="91"/>
      <c r="DQ7" s="92"/>
      <c r="DR7" s="92"/>
      <c r="DS7" s="92"/>
      <c r="DT7" s="91"/>
      <c r="DU7" s="92"/>
      <c r="DV7" s="92"/>
      <c r="DW7" s="92"/>
      <c r="DX7" s="91"/>
      <c r="DY7" s="92"/>
      <c r="DZ7" s="92"/>
      <c r="EA7" s="92"/>
      <c r="EB7" s="91"/>
      <c r="EC7" s="92"/>
      <c r="ED7" s="92"/>
      <c r="EE7" s="92"/>
      <c r="EF7" s="91"/>
      <c r="EG7" s="92"/>
      <c r="EH7" s="92"/>
      <c r="EI7" s="92"/>
      <c r="EJ7" s="91"/>
      <c r="EK7" s="92"/>
      <c r="EL7" s="92"/>
      <c r="EM7" s="92"/>
      <c r="EN7" s="91"/>
      <c r="EO7" s="92"/>
      <c r="EP7" s="92"/>
      <c r="EQ7" s="92"/>
      <c r="ER7" s="91"/>
      <c r="ES7" s="92"/>
      <c r="ET7" s="92"/>
      <c r="EU7" s="92"/>
      <c r="EV7" s="91"/>
      <c r="EW7" s="92"/>
      <c r="EX7" s="92"/>
      <c r="EY7" s="92"/>
      <c r="EZ7" s="91"/>
      <c r="FA7" s="92"/>
      <c r="FB7" s="92"/>
      <c r="FC7" s="92"/>
      <c r="FD7" s="91"/>
      <c r="FE7" s="92"/>
      <c r="FF7" s="92"/>
      <c r="FG7" s="92"/>
      <c r="FH7" s="91"/>
      <c r="FI7" s="92"/>
      <c r="FJ7" s="92"/>
      <c r="FK7" s="92"/>
      <c r="FL7" s="91"/>
      <c r="FM7" s="92"/>
      <c r="FN7" s="92"/>
      <c r="FO7" s="92"/>
      <c r="FP7" s="91"/>
      <c r="FQ7" s="92"/>
      <c r="FR7" s="92"/>
      <c r="FS7" s="92"/>
      <c r="FT7" s="91"/>
      <c r="FU7" s="92"/>
      <c r="FV7" s="92"/>
      <c r="FW7" s="92"/>
      <c r="FX7" s="91"/>
      <c r="FY7" s="92"/>
      <c r="FZ7" s="92"/>
      <c r="GA7" s="92"/>
      <c r="GB7" s="91"/>
      <c r="GC7" s="94"/>
    </row>
    <row r="8" spans="1:185" s="1" customFormat="1" ht="9.75" customHeight="1" thickBot="1" x14ac:dyDescent="0.25">
      <c r="A8" s="3">
        <v>320</v>
      </c>
      <c r="B8" s="107"/>
      <c r="C8" s="99"/>
      <c r="D8" s="101"/>
      <c r="E8" s="99"/>
      <c r="F8" s="99"/>
      <c r="G8" s="98"/>
      <c r="H8" s="99"/>
      <c r="I8" s="99"/>
      <c r="J8" s="99"/>
      <c r="K8" s="98"/>
      <c r="L8" s="99"/>
      <c r="M8" s="99"/>
      <c r="N8" s="99"/>
      <c r="O8" s="98"/>
      <c r="P8" s="99"/>
      <c r="Q8" s="99"/>
      <c r="R8" s="99"/>
      <c r="S8" s="98"/>
      <c r="T8" s="99"/>
      <c r="U8" s="99"/>
      <c r="V8" s="99"/>
      <c r="W8" s="98"/>
      <c r="X8" s="99"/>
      <c r="Y8" s="99"/>
      <c r="Z8" s="99"/>
      <c r="AA8" s="98"/>
      <c r="AB8" s="99"/>
      <c r="AC8" s="99"/>
      <c r="AD8" s="99"/>
      <c r="AE8" s="98"/>
      <c r="AF8" s="99"/>
      <c r="AG8" s="99"/>
      <c r="AH8" s="99"/>
      <c r="AI8" s="98"/>
      <c r="AJ8" s="99"/>
      <c r="AK8" s="99"/>
      <c r="AL8" s="99"/>
      <c r="AM8" s="98"/>
      <c r="AN8" s="99"/>
      <c r="AO8" s="99"/>
      <c r="AP8" s="99"/>
      <c r="AQ8" s="98"/>
      <c r="AR8" s="99"/>
      <c r="AS8" s="99"/>
      <c r="AT8" s="99"/>
      <c r="AU8" s="98"/>
      <c r="AV8" s="99"/>
      <c r="AW8" s="99"/>
      <c r="AX8" s="99"/>
      <c r="AY8" s="98"/>
      <c r="AZ8" s="99"/>
      <c r="BA8" s="99"/>
      <c r="BB8" s="99"/>
      <c r="BC8" s="98"/>
      <c r="BD8" s="99"/>
      <c r="BE8" s="99"/>
      <c r="BF8" s="99"/>
      <c r="BG8" s="98"/>
      <c r="BH8" s="99"/>
      <c r="BI8" s="99"/>
      <c r="BJ8" s="99"/>
      <c r="BK8" s="98"/>
      <c r="BL8" s="99"/>
      <c r="BM8" s="99"/>
      <c r="BN8" s="99"/>
      <c r="BO8" s="98"/>
      <c r="BP8" s="99"/>
      <c r="BQ8" s="99"/>
      <c r="BR8" s="99"/>
      <c r="BS8" s="98"/>
      <c r="BT8" s="99"/>
      <c r="BU8" s="99"/>
      <c r="BV8" s="99"/>
      <c r="BW8" s="98"/>
      <c r="BX8" s="99"/>
      <c r="BY8" s="99"/>
      <c r="BZ8" s="99"/>
      <c r="CA8" s="98"/>
      <c r="CB8" s="99"/>
      <c r="CC8" s="99"/>
      <c r="CD8" s="99"/>
      <c r="CE8" s="98"/>
      <c r="CF8" s="99"/>
      <c r="CG8" s="99"/>
      <c r="CH8" s="99"/>
      <c r="CI8" s="98"/>
      <c r="CJ8" s="99"/>
      <c r="CK8" s="99"/>
      <c r="CL8" s="99"/>
      <c r="CM8" s="98"/>
      <c r="CN8" s="99"/>
      <c r="CO8" s="99"/>
      <c r="CP8" s="99"/>
      <c r="CQ8" s="98"/>
      <c r="CR8" s="99"/>
      <c r="CS8" s="99"/>
      <c r="CT8" s="99"/>
      <c r="CU8" s="98"/>
      <c r="CV8" s="99"/>
      <c r="CW8" s="99"/>
      <c r="CX8" s="99"/>
      <c r="CY8" s="98"/>
      <c r="CZ8" s="99"/>
      <c r="DA8" s="99"/>
      <c r="DB8" s="99"/>
      <c r="DC8" s="98"/>
      <c r="DD8" s="99"/>
      <c r="DE8" s="99"/>
      <c r="DF8" s="99"/>
      <c r="DG8" s="98"/>
      <c r="DH8" s="99"/>
      <c r="DI8" s="99"/>
      <c r="DJ8" s="99"/>
      <c r="DK8" s="98"/>
      <c r="DL8" s="99"/>
      <c r="DM8" s="99"/>
      <c r="DN8" s="99"/>
      <c r="DO8" s="98"/>
      <c r="DP8" s="99"/>
      <c r="DQ8" s="99"/>
      <c r="DR8" s="99"/>
      <c r="DS8" s="98"/>
      <c r="DT8" s="99"/>
      <c r="DU8" s="99"/>
      <c r="DV8" s="99"/>
      <c r="DW8" s="98"/>
      <c r="DX8" s="99"/>
      <c r="DY8" s="99"/>
      <c r="DZ8" s="99"/>
      <c r="EA8" s="98"/>
      <c r="EB8" s="99"/>
      <c r="EC8" s="99"/>
      <c r="ED8" s="99"/>
      <c r="EE8" s="98"/>
      <c r="EF8" s="99"/>
      <c r="EG8" s="99"/>
      <c r="EH8" s="99"/>
      <c r="EI8" s="98"/>
      <c r="EJ8" s="99"/>
      <c r="EK8" s="99"/>
      <c r="EL8" s="99"/>
      <c r="EM8" s="98"/>
      <c r="EN8" s="99"/>
      <c r="EO8" s="99"/>
      <c r="EP8" s="99"/>
      <c r="EQ8" s="98"/>
      <c r="ER8" s="99"/>
      <c r="ES8" s="99"/>
      <c r="ET8" s="99"/>
      <c r="EU8" s="98"/>
      <c r="EV8" s="99"/>
      <c r="EW8" s="99"/>
      <c r="EX8" s="99"/>
      <c r="EY8" s="98"/>
      <c r="EZ8" s="99"/>
      <c r="FA8" s="99"/>
      <c r="FB8" s="99"/>
      <c r="FC8" s="98"/>
      <c r="FD8" s="99"/>
      <c r="FE8" s="99"/>
      <c r="FF8" s="99"/>
      <c r="FG8" s="98"/>
      <c r="FH8" s="99"/>
      <c r="FI8" s="99"/>
      <c r="FJ8" s="99"/>
      <c r="FK8" s="98"/>
      <c r="FL8" s="99"/>
      <c r="FM8" s="99"/>
      <c r="FN8" s="99"/>
      <c r="FO8" s="98"/>
      <c r="FP8" s="99"/>
      <c r="FQ8" s="99"/>
      <c r="FR8" s="99"/>
      <c r="FS8" s="98"/>
      <c r="FT8" s="99"/>
      <c r="FU8" s="99"/>
      <c r="FV8" s="99"/>
      <c r="FW8" s="98"/>
      <c r="FX8" s="99"/>
      <c r="FY8" s="99"/>
      <c r="FZ8" s="99"/>
      <c r="GA8" s="98"/>
      <c r="GB8" s="102"/>
      <c r="GC8" s="115"/>
    </row>
    <row r="9" spans="1:185" s="1" customFormat="1" ht="9.75" customHeight="1" thickBot="1" x14ac:dyDescent="0.25">
      <c r="A9" s="3">
        <v>313.3</v>
      </c>
      <c r="B9" s="103"/>
      <c r="C9" s="95"/>
      <c r="D9" s="71"/>
      <c r="E9" s="71"/>
      <c r="F9" s="91"/>
      <c r="G9" s="92"/>
      <c r="H9" s="92"/>
      <c r="I9" s="92"/>
      <c r="J9" s="91"/>
      <c r="K9" s="92"/>
      <c r="L9" s="92"/>
      <c r="M9" s="92"/>
      <c r="N9" s="91"/>
      <c r="O9" s="92"/>
      <c r="P9" s="92"/>
      <c r="Q9" s="92"/>
      <c r="R9" s="91"/>
      <c r="S9" s="92"/>
      <c r="T9" s="92"/>
      <c r="U9" s="92"/>
      <c r="V9" s="91"/>
      <c r="W9" s="92"/>
      <c r="X9" s="92"/>
      <c r="Y9" s="92"/>
      <c r="Z9" s="91"/>
      <c r="AA9" s="92"/>
      <c r="AB9" s="92"/>
      <c r="AC9" s="92"/>
      <c r="AD9" s="91"/>
      <c r="AE9" s="92"/>
      <c r="AF9" s="92"/>
      <c r="AG9" s="92"/>
      <c r="AH9" s="91"/>
      <c r="AI9" s="92"/>
      <c r="AJ9" s="92"/>
      <c r="AK9" s="92"/>
      <c r="AL9" s="91"/>
      <c r="AM9" s="92"/>
      <c r="AN9" s="92"/>
      <c r="AO9" s="92"/>
      <c r="AP9" s="91"/>
      <c r="AQ9" s="92"/>
      <c r="AR9" s="92"/>
      <c r="AS9" s="92"/>
      <c r="AT9" s="91"/>
      <c r="AU9" s="92"/>
      <c r="AV9" s="92"/>
      <c r="AW9" s="92"/>
      <c r="AX9" s="91"/>
      <c r="AY9" s="92"/>
      <c r="AZ9" s="92"/>
      <c r="BA9" s="92"/>
      <c r="BB9" s="91"/>
      <c r="BC9" s="92"/>
      <c r="BD9" s="92"/>
      <c r="BE9" s="92"/>
      <c r="BF9" s="91"/>
      <c r="BG9" s="92"/>
      <c r="BH9" s="92"/>
      <c r="BI9" s="92"/>
      <c r="BJ9" s="91"/>
      <c r="BK9" s="92"/>
      <c r="BL9" s="92"/>
      <c r="BM9" s="92"/>
      <c r="BN9" s="91"/>
      <c r="BO9" s="92"/>
      <c r="BP9" s="92"/>
      <c r="BQ9" s="92"/>
      <c r="BR9" s="91"/>
      <c r="BS9" s="92"/>
      <c r="BT9" s="92"/>
      <c r="BU9" s="92"/>
      <c r="BV9" s="91"/>
      <c r="BW9" s="92"/>
      <c r="BX9" s="92"/>
      <c r="BY9" s="92"/>
      <c r="BZ9" s="91"/>
      <c r="CA9" s="92"/>
      <c r="CB9" s="92"/>
      <c r="CC9" s="92"/>
      <c r="CD9" s="91"/>
      <c r="CE9" s="92"/>
      <c r="CF9" s="92"/>
      <c r="CG9" s="92"/>
      <c r="CH9" s="91"/>
      <c r="CI9" s="92"/>
      <c r="CJ9" s="92"/>
      <c r="CK9" s="92"/>
      <c r="CL9" s="91"/>
      <c r="CM9" s="92"/>
      <c r="CN9" s="92"/>
      <c r="CO9" s="92"/>
      <c r="CP9" s="91"/>
      <c r="CQ9" s="92"/>
      <c r="CR9" s="92"/>
      <c r="CS9" s="92"/>
      <c r="CT9" s="91"/>
      <c r="CU9" s="92"/>
      <c r="CV9" s="92"/>
      <c r="CW9" s="92"/>
      <c r="CX9" s="91"/>
      <c r="CY9" s="92"/>
      <c r="CZ9" s="92"/>
      <c r="DA9" s="92"/>
      <c r="DB9" s="91"/>
      <c r="DC9" s="92"/>
      <c r="DD9" s="92"/>
      <c r="DE9" s="92"/>
      <c r="DF9" s="91"/>
      <c r="DG9" s="92"/>
      <c r="DH9" s="92"/>
      <c r="DI9" s="92"/>
      <c r="DJ9" s="91"/>
      <c r="DK9" s="92"/>
      <c r="DL9" s="92"/>
      <c r="DM9" s="92"/>
      <c r="DN9" s="91"/>
      <c r="DO9" s="92"/>
      <c r="DP9" s="92"/>
      <c r="DQ9" s="92"/>
      <c r="DR9" s="91"/>
      <c r="DS9" s="92"/>
      <c r="DT9" s="92"/>
      <c r="DU9" s="92"/>
      <c r="DV9" s="91"/>
      <c r="DW9" s="92"/>
      <c r="DX9" s="92"/>
      <c r="DY9" s="92"/>
      <c r="DZ9" s="91"/>
      <c r="EA9" s="92"/>
      <c r="EB9" s="92"/>
      <c r="EC9" s="92"/>
      <c r="ED9" s="91"/>
      <c r="EE9" s="92"/>
      <c r="EF9" s="92"/>
      <c r="EG9" s="92"/>
      <c r="EH9" s="91"/>
      <c r="EI9" s="92"/>
      <c r="EJ9" s="92"/>
      <c r="EK9" s="92"/>
      <c r="EL9" s="91"/>
      <c r="EM9" s="92"/>
      <c r="EN9" s="92"/>
      <c r="EO9" s="92"/>
      <c r="EP9" s="91"/>
      <c r="EQ9" s="92"/>
      <c r="ER9" s="92"/>
      <c r="ES9" s="92"/>
      <c r="ET9" s="91"/>
      <c r="EU9" s="92"/>
      <c r="EV9" s="92"/>
      <c r="EW9" s="92"/>
      <c r="EX9" s="91"/>
      <c r="EY9" s="92"/>
      <c r="EZ9" s="92"/>
      <c r="FA9" s="92"/>
      <c r="FB9" s="91"/>
      <c r="FC9" s="92"/>
      <c r="FD9" s="92"/>
      <c r="FE9" s="92"/>
      <c r="FF9" s="91"/>
      <c r="FG9" s="92"/>
      <c r="FH9" s="92"/>
      <c r="FI9" s="92"/>
      <c r="FJ9" s="91"/>
      <c r="FK9" s="92"/>
      <c r="FL9" s="92"/>
      <c r="FM9" s="92"/>
      <c r="FN9" s="91"/>
      <c r="FO9" s="92"/>
      <c r="FP9" s="92"/>
      <c r="FQ9" s="92"/>
      <c r="FR9" s="91"/>
      <c r="FS9" s="92"/>
      <c r="FT9" s="92"/>
      <c r="FU9" s="92"/>
      <c r="FV9" s="91"/>
      <c r="FW9" s="92"/>
      <c r="FX9" s="92"/>
      <c r="FY9" s="92"/>
      <c r="FZ9" s="91"/>
      <c r="GA9" s="92"/>
      <c r="GB9" s="98"/>
      <c r="GC9" s="100"/>
    </row>
    <row r="10" spans="1:185" s="1" customFormat="1" ht="9.75" customHeight="1" thickBot="1" x14ac:dyDescent="0.25">
      <c r="A10" s="3">
        <v>306.7</v>
      </c>
      <c r="B10" s="103"/>
      <c r="C10" s="92"/>
      <c r="D10" s="101"/>
      <c r="E10" s="99"/>
      <c r="F10" s="92"/>
      <c r="G10" s="91"/>
      <c r="H10" s="92"/>
      <c r="I10" s="92"/>
      <c r="J10" s="92"/>
      <c r="K10" s="91"/>
      <c r="L10" s="92"/>
      <c r="M10" s="92"/>
      <c r="N10" s="92"/>
      <c r="O10" s="91"/>
      <c r="P10" s="92"/>
      <c r="Q10" s="92"/>
      <c r="R10" s="92"/>
      <c r="S10" s="91"/>
      <c r="T10" s="92"/>
      <c r="U10" s="92"/>
      <c r="V10" s="92"/>
      <c r="W10" s="91"/>
      <c r="X10" s="92"/>
      <c r="Y10" s="92"/>
      <c r="Z10" s="92"/>
      <c r="AA10" s="91"/>
      <c r="AB10" s="92"/>
      <c r="AC10" s="92"/>
      <c r="AD10" s="92"/>
      <c r="AE10" s="91"/>
      <c r="AF10" s="92"/>
      <c r="AG10" s="92"/>
      <c r="AH10" s="92"/>
      <c r="AI10" s="91"/>
      <c r="AJ10" s="92"/>
      <c r="AK10" s="92"/>
      <c r="AL10" s="92"/>
      <c r="AM10" s="91"/>
      <c r="AN10" s="92"/>
      <c r="AO10" s="92"/>
      <c r="AP10" s="92"/>
      <c r="AQ10" s="91"/>
      <c r="AR10" s="92"/>
      <c r="AS10" s="92"/>
      <c r="AT10" s="92"/>
      <c r="AU10" s="91"/>
      <c r="AV10" s="92"/>
      <c r="AW10" s="92"/>
      <c r="AX10" s="92"/>
      <c r="AY10" s="91"/>
      <c r="AZ10" s="92"/>
      <c r="BA10" s="92"/>
      <c r="BB10" s="92"/>
      <c r="BC10" s="91"/>
      <c r="BD10" s="92"/>
      <c r="BE10" s="92"/>
      <c r="BF10" s="92"/>
      <c r="BG10" s="91"/>
      <c r="BH10" s="92"/>
      <c r="BI10" s="92"/>
      <c r="BJ10" s="92"/>
      <c r="BK10" s="91"/>
      <c r="BL10" s="92"/>
      <c r="BM10" s="92"/>
      <c r="BN10" s="92"/>
      <c r="BO10" s="91"/>
      <c r="BP10" s="92"/>
      <c r="BQ10" s="92"/>
      <c r="BR10" s="92"/>
      <c r="BS10" s="91"/>
      <c r="BT10" s="92"/>
      <c r="BU10" s="92"/>
      <c r="BV10" s="92"/>
      <c r="BW10" s="91"/>
      <c r="BX10" s="92"/>
      <c r="BY10" s="92"/>
      <c r="BZ10" s="92"/>
      <c r="CA10" s="91"/>
      <c r="CB10" s="92"/>
      <c r="CC10" s="92"/>
      <c r="CD10" s="92"/>
      <c r="CE10" s="91"/>
      <c r="CF10" s="92"/>
      <c r="CG10" s="92"/>
      <c r="CH10" s="92"/>
      <c r="CI10" s="91"/>
      <c r="CJ10" s="92"/>
      <c r="CK10" s="92"/>
      <c r="CL10" s="92"/>
      <c r="CM10" s="91"/>
      <c r="CN10" s="92"/>
      <c r="CO10" s="92"/>
      <c r="CP10" s="92"/>
      <c r="CQ10" s="91"/>
      <c r="CR10" s="92"/>
      <c r="CS10" s="92"/>
      <c r="CT10" s="92"/>
      <c r="CU10" s="91"/>
      <c r="CV10" s="92"/>
      <c r="CW10" s="92"/>
      <c r="CX10" s="92"/>
      <c r="CY10" s="91"/>
      <c r="CZ10" s="92"/>
      <c r="DA10" s="92"/>
      <c r="DB10" s="92"/>
      <c r="DC10" s="91"/>
      <c r="DD10" s="92"/>
      <c r="DE10" s="92"/>
      <c r="DF10" s="92"/>
      <c r="DG10" s="91"/>
      <c r="DH10" s="92"/>
      <c r="DI10" s="92"/>
      <c r="DJ10" s="92"/>
      <c r="DK10" s="91"/>
      <c r="DL10" s="92"/>
      <c r="DM10" s="92"/>
      <c r="DN10" s="92"/>
      <c r="DO10" s="91"/>
      <c r="DP10" s="92"/>
      <c r="DQ10" s="92"/>
      <c r="DR10" s="92"/>
      <c r="DS10" s="91"/>
      <c r="DT10" s="92"/>
      <c r="DU10" s="92"/>
      <c r="DV10" s="92"/>
      <c r="DW10" s="91"/>
      <c r="DX10" s="92"/>
      <c r="DY10" s="92"/>
      <c r="DZ10" s="92"/>
      <c r="EA10" s="91"/>
      <c r="EB10" s="92"/>
      <c r="EC10" s="92"/>
      <c r="ED10" s="92"/>
      <c r="EE10" s="91"/>
      <c r="EF10" s="92"/>
      <c r="EG10" s="92"/>
      <c r="EH10" s="92"/>
      <c r="EI10" s="91"/>
      <c r="EJ10" s="92"/>
      <c r="EK10" s="92"/>
      <c r="EL10" s="92"/>
      <c r="EM10" s="91"/>
      <c r="EN10" s="92"/>
      <c r="EO10" s="92"/>
      <c r="EP10" s="92"/>
      <c r="EQ10" s="91"/>
      <c r="ER10" s="92"/>
      <c r="ES10" s="92"/>
      <c r="ET10" s="92"/>
      <c r="EU10" s="91"/>
      <c r="EV10" s="92"/>
      <c r="EW10" s="92"/>
      <c r="EX10" s="92"/>
      <c r="EY10" s="91"/>
      <c r="EZ10" s="92"/>
      <c r="FA10" s="92"/>
      <c r="FB10" s="92"/>
      <c r="FC10" s="91"/>
      <c r="FD10" s="92"/>
      <c r="FE10" s="92"/>
      <c r="FF10" s="92"/>
      <c r="FG10" s="91"/>
      <c r="FH10" s="92"/>
      <c r="FI10" s="92"/>
      <c r="FJ10" s="92"/>
      <c r="FK10" s="91"/>
      <c r="FL10" s="92"/>
      <c r="FM10" s="92"/>
      <c r="FN10" s="92"/>
      <c r="FO10" s="91"/>
      <c r="FP10" s="92"/>
      <c r="FQ10" s="92"/>
      <c r="FR10" s="92"/>
      <c r="FS10" s="91"/>
      <c r="FT10" s="92"/>
      <c r="FU10" s="92"/>
      <c r="FV10" s="92"/>
      <c r="FW10" s="91"/>
      <c r="FX10" s="92"/>
      <c r="FY10" s="92"/>
      <c r="FZ10" s="92"/>
      <c r="GA10" s="91"/>
      <c r="GB10" s="92"/>
      <c r="GC10" s="94"/>
    </row>
    <row r="11" spans="1:185" s="1" customFormat="1" ht="9.75" customHeight="1" thickBot="1" x14ac:dyDescent="0.25">
      <c r="A11" s="3">
        <v>300</v>
      </c>
      <c r="B11" s="103"/>
      <c r="C11" s="95"/>
      <c r="D11" s="92"/>
      <c r="E11" s="92"/>
      <c r="F11" s="92"/>
      <c r="G11" s="92"/>
      <c r="H11" s="91"/>
      <c r="I11" s="92"/>
      <c r="J11" s="92"/>
      <c r="K11" s="92"/>
      <c r="L11" s="91"/>
      <c r="M11" s="92"/>
      <c r="N11" s="92"/>
      <c r="O11" s="92"/>
      <c r="P11" s="91"/>
      <c r="Q11" s="92"/>
      <c r="R11" s="92"/>
      <c r="S11" s="92"/>
      <c r="T11" s="91"/>
      <c r="U11" s="92"/>
      <c r="V11" s="92"/>
      <c r="W11" s="92"/>
      <c r="X11" s="91"/>
      <c r="Y11" s="92"/>
      <c r="Z11" s="92"/>
      <c r="AA11" s="92"/>
      <c r="AB11" s="91"/>
      <c r="AC11" s="92"/>
      <c r="AD11" s="92"/>
      <c r="AE11" s="92"/>
      <c r="AF11" s="91"/>
      <c r="AG11" s="92"/>
      <c r="AH11" s="92"/>
      <c r="AI11" s="92"/>
      <c r="AJ11" s="91"/>
      <c r="AK11" s="92"/>
      <c r="AL11" s="92"/>
      <c r="AM11" s="92"/>
      <c r="AN11" s="91"/>
      <c r="AO11" s="92"/>
      <c r="AP11" s="92"/>
      <c r="AQ11" s="92"/>
      <c r="AR11" s="91"/>
      <c r="AS11" s="92"/>
      <c r="AT11" s="92"/>
      <c r="AU11" s="92"/>
      <c r="AV11" s="91"/>
      <c r="AW11" s="92"/>
      <c r="AX11" s="92"/>
      <c r="AY11" s="92"/>
      <c r="AZ11" s="91"/>
      <c r="BA11" s="92"/>
      <c r="BB11" s="92"/>
      <c r="BC11" s="92"/>
      <c r="BD11" s="91"/>
      <c r="BE11" s="92"/>
      <c r="BF11" s="92"/>
      <c r="BG11" s="92"/>
      <c r="BH11" s="91"/>
      <c r="BI11" s="92"/>
      <c r="BJ11" s="92"/>
      <c r="BK11" s="92"/>
      <c r="BL11" s="91"/>
      <c r="BM11" s="92"/>
      <c r="BN11" s="92"/>
      <c r="BO11" s="92"/>
      <c r="BP11" s="91"/>
      <c r="BQ11" s="92"/>
      <c r="BR11" s="92"/>
      <c r="BS11" s="92"/>
      <c r="BT11" s="91"/>
      <c r="BU11" s="92"/>
      <c r="BV11" s="92"/>
      <c r="BW11" s="92"/>
      <c r="BX11" s="91"/>
      <c r="BY11" s="92"/>
      <c r="BZ11" s="92"/>
      <c r="CA11" s="92"/>
      <c r="CB11" s="91"/>
      <c r="CC11" s="92"/>
      <c r="CD11" s="92"/>
      <c r="CE11" s="92"/>
      <c r="CF11" s="91"/>
      <c r="CG11" s="92"/>
      <c r="CH11" s="92"/>
      <c r="CI11" s="92"/>
      <c r="CJ11" s="91"/>
      <c r="CK11" s="92"/>
      <c r="CL11" s="92"/>
      <c r="CM11" s="92"/>
      <c r="CN11" s="91"/>
      <c r="CO11" s="92"/>
      <c r="CP11" s="92"/>
      <c r="CQ11" s="92"/>
      <c r="CR11" s="91"/>
      <c r="CS11" s="92"/>
      <c r="CT11" s="92"/>
      <c r="CU11" s="92"/>
      <c r="CV11" s="91"/>
      <c r="CW11" s="92"/>
      <c r="CX11" s="92"/>
      <c r="CY11" s="92"/>
      <c r="CZ11" s="91"/>
      <c r="DA11" s="92"/>
      <c r="DB11" s="92"/>
      <c r="DC11" s="92"/>
      <c r="DD11" s="91"/>
      <c r="DE11" s="92"/>
      <c r="DF11" s="92"/>
      <c r="DG11" s="92"/>
      <c r="DH11" s="91"/>
      <c r="DI11" s="92"/>
      <c r="DJ11" s="92"/>
      <c r="DK11" s="92"/>
      <c r="DL11" s="91"/>
      <c r="DM11" s="92"/>
      <c r="DN11" s="92"/>
      <c r="DO11" s="92"/>
      <c r="DP11" s="91"/>
      <c r="DQ11" s="92"/>
      <c r="DR11" s="92"/>
      <c r="DS11" s="92"/>
      <c r="DT11" s="91"/>
      <c r="DU11" s="92"/>
      <c r="DV11" s="92"/>
      <c r="DW11" s="92"/>
      <c r="DX11" s="91"/>
      <c r="DY11" s="92"/>
      <c r="DZ11" s="92"/>
      <c r="EA11" s="92"/>
      <c r="EB11" s="91"/>
      <c r="EC11" s="92"/>
      <c r="ED11" s="92"/>
      <c r="EE11" s="92"/>
      <c r="EF11" s="91"/>
      <c r="EG11" s="92"/>
      <c r="EH11" s="92"/>
      <c r="EI11" s="92"/>
      <c r="EJ11" s="91"/>
      <c r="EK11" s="92"/>
      <c r="EL11" s="92"/>
      <c r="EM11" s="92"/>
      <c r="EN11" s="91"/>
      <c r="EO11" s="92"/>
      <c r="EP11" s="92"/>
      <c r="EQ11" s="92"/>
      <c r="ER11" s="91"/>
      <c r="ES11" s="92"/>
      <c r="ET11" s="92"/>
      <c r="EU11" s="92"/>
      <c r="EV11" s="91"/>
      <c r="EW11" s="92"/>
      <c r="EX11" s="92"/>
      <c r="EY11" s="92"/>
      <c r="EZ11" s="91"/>
      <c r="FA11" s="92"/>
      <c r="FB11" s="92"/>
      <c r="FC11" s="92"/>
      <c r="FD11" s="91"/>
      <c r="FE11" s="92"/>
      <c r="FF11" s="92"/>
      <c r="FG11" s="92"/>
      <c r="FH11" s="91"/>
      <c r="FI11" s="92"/>
      <c r="FJ11" s="92"/>
      <c r="FK11" s="92"/>
      <c r="FL11" s="91"/>
      <c r="FM11" s="92"/>
      <c r="FN11" s="92"/>
      <c r="FO11" s="92"/>
      <c r="FP11" s="91"/>
      <c r="FQ11" s="92"/>
      <c r="FR11" s="92"/>
      <c r="FS11" s="92"/>
      <c r="FT11" s="91"/>
      <c r="FU11" s="92"/>
      <c r="FV11" s="92"/>
      <c r="FW11" s="92"/>
      <c r="FX11" s="91"/>
      <c r="FY11" s="92"/>
      <c r="FZ11" s="92"/>
      <c r="GA11" s="92"/>
      <c r="GB11" s="91"/>
      <c r="GC11" s="94"/>
    </row>
    <row r="12" spans="1:185" s="1" customFormat="1" ht="9.75" customHeight="1" thickBot="1" x14ac:dyDescent="0.25">
      <c r="A12" s="3">
        <v>293.3</v>
      </c>
      <c r="B12" s="107"/>
      <c r="C12" s="99"/>
      <c r="D12" s="101"/>
      <c r="E12" s="99"/>
      <c r="F12" s="99"/>
      <c r="G12" s="98"/>
      <c r="H12" s="99"/>
      <c r="I12" s="99"/>
      <c r="J12" s="99"/>
      <c r="K12" s="98"/>
      <c r="L12" s="99"/>
      <c r="M12" s="99"/>
      <c r="N12" s="99"/>
      <c r="O12" s="98"/>
      <c r="P12" s="99"/>
      <c r="Q12" s="99"/>
      <c r="R12" s="99"/>
      <c r="S12" s="98"/>
      <c r="T12" s="99"/>
      <c r="U12" s="99"/>
      <c r="V12" s="99"/>
      <c r="W12" s="98"/>
      <c r="X12" s="99"/>
      <c r="Y12" s="99"/>
      <c r="Z12" s="99"/>
      <c r="AA12" s="98"/>
      <c r="AB12" s="99"/>
      <c r="AC12" s="99"/>
      <c r="AD12" s="99"/>
      <c r="AE12" s="98"/>
      <c r="AF12" s="99"/>
      <c r="AG12" s="99"/>
      <c r="AH12" s="99"/>
      <c r="AI12" s="98"/>
      <c r="AJ12" s="99"/>
      <c r="AK12" s="99"/>
      <c r="AL12" s="99"/>
      <c r="AM12" s="98"/>
      <c r="AN12" s="99"/>
      <c r="AO12" s="99"/>
      <c r="AP12" s="99"/>
      <c r="AQ12" s="98"/>
      <c r="AR12" s="99"/>
      <c r="AS12" s="99"/>
      <c r="AT12" s="99"/>
      <c r="AU12" s="98"/>
      <c r="AV12" s="99"/>
      <c r="AW12" s="99"/>
      <c r="AX12" s="99"/>
      <c r="AY12" s="98"/>
      <c r="AZ12" s="99"/>
      <c r="BA12" s="99"/>
      <c r="BB12" s="99"/>
      <c r="BC12" s="98"/>
      <c r="BD12" s="99"/>
      <c r="BE12" s="99"/>
      <c r="BF12" s="99"/>
      <c r="BG12" s="98"/>
      <c r="BH12" s="99"/>
      <c r="BI12" s="99"/>
      <c r="BJ12" s="99"/>
      <c r="BK12" s="98"/>
      <c r="BL12" s="99"/>
      <c r="BM12" s="99"/>
      <c r="BN12" s="99"/>
      <c r="BO12" s="98"/>
      <c r="BP12" s="99"/>
      <c r="BQ12" s="99"/>
      <c r="BR12" s="99"/>
      <c r="BS12" s="98"/>
      <c r="BT12" s="99"/>
      <c r="BU12" s="99"/>
      <c r="BV12" s="99"/>
      <c r="BW12" s="98"/>
      <c r="BX12" s="99"/>
      <c r="BY12" s="99"/>
      <c r="BZ12" s="99"/>
      <c r="CA12" s="98"/>
      <c r="CB12" s="99"/>
      <c r="CC12" s="99"/>
      <c r="CD12" s="99"/>
      <c r="CE12" s="98"/>
      <c r="CF12" s="99"/>
      <c r="CG12" s="99"/>
      <c r="CH12" s="99"/>
      <c r="CI12" s="98"/>
      <c r="CJ12" s="99"/>
      <c r="CK12" s="99"/>
      <c r="CL12" s="99"/>
      <c r="CM12" s="98"/>
      <c r="CN12" s="99"/>
      <c r="CO12" s="99"/>
      <c r="CP12" s="99"/>
      <c r="CQ12" s="98"/>
      <c r="CR12" s="99"/>
      <c r="CS12" s="99"/>
      <c r="CT12" s="99"/>
      <c r="CU12" s="98"/>
      <c r="CV12" s="99"/>
      <c r="CW12" s="99"/>
      <c r="CX12" s="99"/>
      <c r="CY12" s="98"/>
      <c r="CZ12" s="99"/>
      <c r="DA12" s="99"/>
      <c r="DB12" s="99"/>
      <c r="DC12" s="98"/>
      <c r="DD12" s="99"/>
      <c r="DE12" s="99"/>
      <c r="DF12" s="99"/>
      <c r="DG12" s="98"/>
      <c r="DH12" s="99"/>
      <c r="DI12" s="99"/>
      <c r="DJ12" s="99"/>
      <c r="DK12" s="98"/>
      <c r="DL12" s="99"/>
      <c r="DM12" s="99"/>
      <c r="DN12" s="99"/>
      <c r="DO12" s="98"/>
      <c r="DP12" s="99"/>
      <c r="DQ12" s="99"/>
      <c r="DR12" s="99"/>
      <c r="DS12" s="98"/>
      <c r="DT12" s="99"/>
      <c r="DU12" s="99"/>
      <c r="DV12" s="99"/>
      <c r="DW12" s="98"/>
      <c r="DX12" s="99"/>
      <c r="DY12" s="99"/>
      <c r="DZ12" s="99"/>
      <c r="EA12" s="98"/>
      <c r="EB12" s="99"/>
      <c r="EC12" s="99"/>
      <c r="ED12" s="99"/>
      <c r="EE12" s="98"/>
      <c r="EF12" s="99"/>
      <c r="EG12" s="99"/>
      <c r="EH12" s="99"/>
      <c r="EI12" s="98"/>
      <c r="EJ12" s="99"/>
      <c r="EK12" s="99"/>
      <c r="EL12" s="99"/>
      <c r="EM12" s="98"/>
      <c r="EN12" s="99"/>
      <c r="EO12" s="99"/>
      <c r="EP12" s="99"/>
      <c r="EQ12" s="98"/>
      <c r="ER12" s="99"/>
      <c r="ES12" s="99"/>
      <c r="ET12" s="99"/>
      <c r="EU12" s="98"/>
      <c r="EV12" s="99"/>
      <c r="EW12" s="99"/>
      <c r="EX12" s="99"/>
      <c r="EY12" s="98"/>
      <c r="EZ12" s="99"/>
      <c r="FA12" s="99"/>
      <c r="FB12" s="99"/>
      <c r="FC12" s="98"/>
      <c r="FD12" s="99"/>
      <c r="FE12" s="99"/>
      <c r="FF12" s="99"/>
      <c r="FG12" s="98"/>
      <c r="FH12" s="99"/>
      <c r="FI12" s="99"/>
      <c r="FJ12" s="99"/>
      <c r="FK12" s="98"/>
      <c r="FL12" s="99"/>
      <c r="FM12" s="99"/>
      <c r="FN12" s="99"/>
      <c r="FO12" s="98"/>
      <c r="FP12" s="99"/>
      <c r="FQ12" s="99"/>
      <c r="FR12" s="99"/>
      <c r="FS12" s="98"/>
      <c r="FT12" s="99"/>
      <c r="FU12" s="99"/>
      <c r="FV12" s="99"/>
      <c r="FW12" s="98"/>
      <c r="FX12" s="99"/>
      <c r="FY12" s="99"/>
      <c r="FZ12" s="99"/>
      <c r="GA12" s="98"/>
      <c r="GB12" s="102"/>
      <c r="GC12" s="115"/>
    </row>
    <row r="13" spans="1:185" s="1" customFormat="1" ht="9.75" customHeight="1" thickBot="1" x14ac:dyDescent="0.25">
      <c r="A13" s="3">
        <v>286.7</v>
      </c>
      <c r="B13" s="103"/>
      <c r="C13" s="95"/>
      <c r="D13" s="71"/>
      <c r="E13" s="71"/>
      <c r="F13" s="91"/>
      <c r="G13" s="92"/>
      <c r="H13" s="92"/>
      <c r="I13" s="92"/>
      <c r="J13" s="91"/>
      <c r="K13" s="92"/>
      <c r="L13" s="92"/>
      <c r="M13" s="92"/>
      <c r="N13" s="91"/>
      <c r="O13" s="92"/>
      <c r="P13" s="92"/>
      <c r="Q13" s="92"/>
      <c r="R13" s="91"/>
      <c r="S13" s="92"/>
      <c r="T13" s="92"/>
      <c r="U13" s="92"/>
      <c r="V13" s="91"/>
      <c r="W13" s="92"/>
      <c r="X13" s="92"/>
      <c r="Y13" s="92"/>
      <c r="Z13" s="91"/>
      <c r="AA13" s="92"/>
      <c r="AB13" s="92"/>
      <c r="AC13" s="92"/>
      <c r="AD13" s="91"/>
      <c r="AE13" s="92"/>
      <c r="AF13" s="92"/>
      <c r="AG13" s="92"/>
      <c r="AH13" s="91"/>
      <c r="AI13" s="92"/>
      <c r="AJ13" s="92"/>
      <c r="AK13" s="92"/>
      <c r="AL13" s="91"/>
      <c r="AM13" s="92"/>
      <c r="AN13" s="92"/>
      <c r="AO13" s="92"/>
      <c r="AP13" s="91"/>
      <c r="AQ13" s="92"/>
      <c r="AR13" s="92"/>
      <c r="AS13" s="92"/>
      <c r="AT13" s="91"/>
      <c r="AU13" s="92"/>
      <c r="AV13" s="92"/>
      <c r="AW13" s="92"/>
      <c r="AX13" s="91"/>
      <c r="AY13" s="92"/>
      <c r="AZ13" s="92"/>
      <c r="BA13" s="92"/>
      <c r="BB13" s="91"/>
      <c r="BC13" s="92"/>
      <c r="BD13" s="92"/>
      <c r="BE13" s="92"/>
      <c r="BF13" s="91"/>
      <c r="BG13" s="92"/>
      <c r="BH13" s="92"/>
      <c r="BI13" s="92"/>
      <c r="BJ13" s="91"/>
      <c r="BK13" s="92"/>
      <c r="BL13" s="92"/>
      <c r="BM13" s="92"/>
      <c r="BN13" s="91"/>
      <c r="BO13" s="92"/>
      <c r="BP13" s="92"/>
      <c r="BQ13" s="92"/>
      <c r="BR13" s="91"/>
      <c r="BS13" s="92"/>
      <c r="BT13" s="92"/>
      <c r="BU13" s="92"/>
      <c r="BV13" s="91"/>
      <c r="BW13" s="92"/>
      <c r="BX13" s="92"/>
      <c r="BY13" s="92"/>
      <c r="BZ13" s="91"/>
      <c r="CA13" s="92"/>
      <c r="CB13" s="92"/>
      <c r="CC13" s="92"/>
      <c r="CD13" s="91"/>
      <c r="CE13" s="92"/>
      <c r="CF13" s="92"/>
      <c r="CG13" s="92"/>
      <c r="CH13" s="91"/>
      <c r="CI13" s="92"/>
      <c r="CJ13" s="92"/>
      <c r="CK13" s="92"/>
      <c r="CL13" s="91"/>
      <c r="CM13" s="92"/>
      <c r="CN13" s="92"/>
      <c r="CO13" s="92"/>
      <c r="CP13" s="91"/>
      <c r="CQ13" s="92"/>
      <c r="CR13" s="92"/>
      <c r="CS13" s="92"/>
      <c r="CT13" s="91"/>
      <c r="CU13" s="92"/>
      <c r="CV13" s="92"/>
      <c r="CW13" s="92"/>
      <c r="CX13" s="91"/>
      <c r="CY13" s="92"/>
      <c r="CZ13" s="92"/>
      <c r="DA13" s="92"/>
      <c r="DB13" s="91"/>
      <c r="DC13" s="92"/>
      <c r="DD13" s="92"/>
      <c r="DE13" s="92"/>
      <c r="DF13" s="91"/>
      <c r="DG13" s="92"/>
      <c r="DH13" s="92"/>
      <c r="DI13" s="92"/>
      <c r="DJ13" s="91"/>
      <c r="DK13" s="92"/>
      <c r="DL13" s="92"/>
      <c r="DM13" s="92"/>
      <c r="DN13" s="91"/>
      <c r="DO13" s="92"/>
      <c r="DP13" s="92"/>
      <c r="DQ13" s="92"/>
      <c r="DR13" s="91"/>
      <c r="DS13" s="92"/>
      <c r="DT13" s="92"/>
      <c r="DU13" s="92"/>
      <c r="DV13" s="91"/>
      <c r="DW13" s="92"/>
      <c r="DX13" s="92"/>
      <c r="DY13" s="92"/>
      <c r="DZ13" s="91"/>
      <c r="EA13" s="92"/>
      <c r="EB13" s="92"/>
      <c r="EC13" s="92"/>
      <c r="ED13" s="91"/>
      <c r="EE13" s="92"/>
      <c r="EF13" s="92"/>
      <c r="EG13" s="92"/>
      <c r="EH13" s="91"/>
      <c r="EI13" s="92"/>
      <c r="EJ13" s="92"/>
      <c r="EK13" s="92"/>
      <c r="EL13" s="91"/>
      <c r="EM13" s="92"/>
      <c r="EN13" s="92"/>
      <c r="EO13" s="92"/>
      <c r="EP13" s="91"/>
      <c r="EQ13" s="92"/>
      <c r="ER13" s="92"/>
      <c r="ES13" s="92"/>
      <c r="ET13" s="91"/>
      <c r="EU13" s="92"/>
      <c r="EV13" s="92"/>
      <c r="EW13" s="92"/>
      <c r="EX13" s="91"/>
      <c r="EY13" s="92"/>
      <c r="EZ13" s="92"/>
      <c r="FA13" s="92"/>
      <c r="FB13" s="91"/>
      <c r="FC13" s="92"/>
      <c r="FD13" s="92"/>
      <c r="FE13" s="92"/>
      <c r="FF13" s="91"/>
      <c r="FG13" s="92"/>
      <c r="FH13" s="92"/>
      <c r="FI13" s="92"/>
      <c r="FJ13" s="91"/>
      <c r="FK13" s="92"/>
      <c r="FL13" s="92"/>
      <c r="FM13" s="92"/>
      <c r="FN13" s="91"/>
      <c r="FO13" s="92"/>
      <c r="FP13" s="92"/>
      <c r="FQ13" s="92"/>
      <c r="FR13" s="91"/>
      <c r="FS13" s="92"/>
      <c r="FT13" s="92"/>
      <c r="FU13" s="92"/>
      <c r="FV13" s="91"/>
      <c r="FW13" s="92"/>
      <c r="FX13" s="92"/>
      <c r="FY13" s="92"/>
      <c r="FZ13" s="91"/>
      <c r="GA13" s="92"/>
      <c r="GB13" s="98"/>
      <c r="GC13" s="100"/>
    </row>
    <row r="14" spans="1:185" s="1" customFormat="1" ht="9.75" customHeight="1" thickBot="1" x14ac:dyDescent="0.25">
      <c r="A14" s="3">
        <v>280</v>
      </c>
      <c r="B14" s="103"/>
      <c r="C14" s="92"/>
      <c r="D14" s="101"/>
      <c r="E14" s="99"/>
      <c r="F14" s="92"/>
      <c r="G14" s="91"/>
      <c r="H14" s="92"/>
      <c r="I14" s="92"/>
      <c r="J14" s="92"/>
      <c r="K14" s="91"/>
      <c r="L14" s="92"/>
      <c r="M14" s="92"/>
      <c r="N14" s="92"/>
      <c r="O14" s="91"/>
      <c r="P14" s="92"/>
      <c r="Q14" s="92"/>
      <c r="R14" s="92"/>
      <c r="S14" s="91"/>
      <c r="T14" s="92"/>
      <c r="U14" s="92"/>
      <c r="V14" s="92"/>
      <c r="W14" s="91"/>
      <c r="X14" s="92"/>
      <c r="Y14" s="92"/>
      <c r="Z14" s="92"/>
      <c r="AA14" s="91"/>
      <c r="AB14" s="92"/>
      <c r="AC14" s="92"/>
      <c r="AD14" s="92"/>
      <c r="AE14" s="91"/>
      <c r="AF14" s="92"/>
      <c r="AG14" s="92"/>
      <c r="AH14" s="92"/>
      <c r="AI14" s="91"/>
      <c r="AJ14" s="92"/>
      <c r="AK14" s="92"/>
      <c r="AL14" s="92"/>
      <c r="AM14" s="91"/>
      <c r="AN14" s="92"/>
      <c r="AO14" s="92"/>
      <c r="AP14" s="92"/>
      <c r="AQ14" s="91"/>
      <c r="AR14" s="92"/>
      <c r="AS14" s="92"/>
      <c r="AT14" s="92"/>
      <c r="AU14" s="91"/>
      <c r="AV14" s="92"/>
      <c r="AW14" s="92"/>
      <c r="AX14" s="92"/>
      <c r="AY14" s="91"/>
      <c r="AZ14" s="92"/>
      <c r="BA14" s="92"/>
      <c r="BB14" s="92"/>
      <c r="BC14" s="91"/>
      <c r="BD14" s="92"/>
      <c r="BE14" s="92"/>
      <c r="BF14" s="92"/>
      <c r="BG14" s="91"/>
      <c r="BH14" s="92"/>
      <c r="BI14" s="92"/>
      <c r="BJ14" s="92"/>
      <c r="BK14" s="91"/>
      <c r="BL14" s="92"/>
      <c r="BM14" s="92"/>
      <c r="BN14" s="92"/>
      <c r="BO14" s="91"/>
      <c r="BP14" s="92"/>
      <c r="BQ14" s="92"/>
      <c r="BR14" s="92"/>
      <c r="BS14" s="91"/>
      <c r="BT14" s="92"/>
      <c r="BU14" s="92"/>
      <c r="BV14" s="92"/>
      <c r="BW14" s="91"/>
      <c r="BX14" s="92"/>
      <c r="BY14" s="92"/>
      <c r="BZ14" s="92"/>
      <c r="CA14" s="91"/>
      <c r="CB14" s="92"/>
      <c r="CC14" s="92"/>
      <c r="CD14" s="92"/>
      <c r="CE14" s="91"/>
      <c r="CF14" s="92"/>
      <c r="CG14" s="92"/>
      <c r="CH14" s="92"/>
      <c r="CI14" s="91"/>
      <c r="CJ14" s="92"/>
      <c r="CK14" s="92"/>
      <c r="CL14" s="92"/>
      <c r="CM14" s="91"/>
      <c r="CN14" s="92"/>
      <c r="CO14" s="92"/>
      <c r="CP14" s="92"/>
      <c r="CQ14" s="91"/>
      <c r="CR14" s="92"/>
      <c r="CS14" s="92"/>
      <c r="CT14" s="92"/>
      <c r="CU14" s="91"/>
      <c r="CV14" s="92"/>
      <c r="CW14" s="92"/>
      <c r="CX14" s="92"/>
      <c r="CY14" s="91"/>
      <c r="CZ14" s="92"/>
      <c r="DA14" s="92"/>
      <c r="DB14" s="92"/>
      <c r="DC14" s="91"/>
      <c r="DD14" s="92"/>
      <c r="DE14" s="92"/>
      <c r="DF14" s="92"/>
      <c r="DG14" s="91"/>
      <c r="DH14" s="92"/>
      <c r="DI14" s="92"/>
      <c r="DJ14" s="92"/>
      <c r="DK14" s="91"/>
      <c r="DL14" s="92"/>
      <c r="DM14" s="92"/>
      <c r="DN14" s="92"/>
      <c r="DO14" s="91"/>
      <c r="DP14" s="92"/>
      <c r="DQ14" s="92"/>
      <c r="DR14" s="92"/>
      <c r="DS14" s="91"/>
      <c r="DT14" s="92"/>
      <c r="DU14" s="92"/>
      <c r="DV14" s="92"/>
      <c r="DW14" s="91"/>
      <c r="DX14" s="92"/>
      <c r="DY14" s="92"/>
      <c r="DZ14" s="92"/>
      <c r="EA14" s="91"/>
      <c r="EB14" s="92"/>
      <c r="EC14" s="92"/>
      <c r="ED14" s="92"/>
      <c r="EE14" s="91"/>
      <c r="EF14" s="92"/>
      <c r="EG14" s="92"/>
      <c r="EH14" s="92"/>
      <c r="EI14" s="91"/>
      <c r="EJ14" s="92"/>
      <c r="EK14" s="92"/>
      <c r="EL14" s="92"/>
      <c r="EM14" s="91"/>
      <c r="EN14" s="92"/>
      <c r="EO14" s="92"/>
      <c r="EP14" s="92"/>
      <c r="EQ14" s="91"/>
      <c r="ER14" s="92"/>
      <c r="ES14" s="92"/>
      <c r="ET14" s="92"/>
      <c r="EU14" s="91"/>
      <c r="EV14" s="92"/>
      <c r="EW14" s="92"/>
      <c r="EX14" s="92"/>
      <c r="EY14" s="91"/>
      <c r="EZ14" s="92"/>
      <c r="FA14" s="92"/>
      <c r="FB14" s="92"/>
      <c r="FC14" s="91"/>
      <c r="FD14" s="92"/>
      <c r="FE14" s="92"/>
      <c r="FF14" s="92"/>
      <c r="FG14" s="91"/>
      <c r="FH14" s="92"/>
      <c r="FI14" s="92"/>
      <c r="FJ14" s="92"/>
      <c r="FK14" s="91"/>
      <c r="FL14" s="92"/>
      <c r="FM14" s="92"/>
      <c r="FN14" s="92"/>
      <c r="FO14" s="91"/>
      <c r="FP14" s="92"/>
      <c r="FQ14" s="92"/>
      <c r="FR14" s="92"/>
      <c r="FS14" s="91"/>
      <c r="FT14" s="92"/>
      <c r="FU14" s="92"/>
      <c r="FV14" s="92"/>
      <c r="FW14" s="91"/>
      <c r="FX14" s="92"/>
      <c r="FY14" s="92"/>
      <c r="FZ14" s="92"/>
      <c r="GA14" s="91"/>
      <c r="GB14" s="92"/>
      <c r="GC14" s="94"/>
    </row>
    <row r="15" spans="1:185" s="1" customFormat="1" ht="9.75" customHeight="1" thickBot="1" x14ac:dyDescent="0.25">
      <c r="A15" s="3">
        <v>273.3</v>
      </c>
      <c r="B15" s="103"/>
      <c r="C15" s="95"/>
      <c r="D15" s="92"/>
      <c r="E15" s="92"/>
      <c r="F15" s="92"/>
      <c r="G15" s="92"/>
      <c r="H15" s="91"/>
      <c r="I15" s="92"/>
      <c r="J15" s="92"/>
      <c r="K15" s="92"/>
      <c r="L15" s="91"/>
      <c r="M15" s="92"/>
      <c r="N15" s="92"/>
      <c r="O15" s="92"/>
      <c r="P15" s="91"/>
      <c r="Q15" s="92"/>
      <c r="R15" s="92"/>
      <c r="S15" s="92"/>
      <c r="T15" s="91"/>
      <c r="U15" s="92"/>
      <c r="V15" s="92"/>
      <c r="W15" s="92"/>
      <c r="X15" s="91"/>
      <c r="Y15" s="92"/>
      <c r="Z15" s="92"/>
      <c r="AA15" s="92"/>
      <c r="AB15" s="91"/>
      <c r="AC15" s="92"/>
      <c r="AD15" s="92"/>
      <c r="AE15" s="92"/>
      <c r="AF15" s="91"/>
      <c r="AG15" s="92"/>
      <c r="AH15" s="92"/>
      <c r="AI15" s="92"/>
      <c r="AJ15" s="91"/>
      <c r="AK15" s="92"/>
      <c r="AL15" s="92"/>
      <c r="AM15" s="92"/>
      <c r="AN15" s="91"/>
      <c r="AO15" s="92"/>
      <c r="AP15" s="92"/>
      <c r="AQ15" s="92"/>
      <c r="AR15" s="91"/>
      <c r="AS15" s="92"/>
      <c r="AT15" s="92"/>
      <c r="AU15" s="92"/>
      <c r="AV15" s="91"/>
      <c r="AW15" s="92"/>
      <c r="AX15" s="92"/>
      <c r="AY15" s="92"/>
      <c r="AZ15" s="91"/>
      <c r="BA15" s="92"/>
      <c r="BB15" s="92"/>
      <c r="BC15" s="92"/>
      <c r="BD15" s="91"/>
      <c r="BE15" s="92"/>
      <c r="BF15" s="92"/>
      <c r="BG15" s="92"/>
      <c r="BH15" s="91"/>
      <c r="BI15" s="92"/>
      <c r="BJ15" s="92"/>
      <c r="BK15" s="92"/>
      <c r="BL15" s="91"/>
      <c r="BM15" s="92"/>
      <c r="BN15" s="92"/>
      <c r="BO15" s="92"/>
      <c r="BP15" s="91"/>
      <c r="BQ15" s="92"/>
      <c r="BR15" s="92"/>
      <c r="BS15" s="92"/>
      <c r="BT15" s="91"/>
      <c r="BU15" s="92"/>
      <c r="BV15" s="92"/>
      <c r="BW15" s="92"/>
      <c r="BX15" s="91"/>
      <c r="BY15" s="92"/>
      <c r="BZ15" s="92"/>
      <c r="CA15" s="92"/>
      <c r="CB15" s="91"/>
      <c r="CC15" s="92"/>
      <c r="CD15" s="92"/>
      <c r="CE15" s="92"/>
      <c r="CF15" s="91"/>
      <c r="CG15" s="92"/>
      <c r="CH15" s="92"/>
      <c r="CI15" s="92"/>
      <c r="CJ15" s="91"/>
      <c r="CK15" s="92"/>
      <c r="CL15" s="92"/>
      <c r="CM15" s="92"/>
      <c r="CN15" s="91"/>
      <c r="CO15" s="92"/>
      <c r="CP15" s="92"/>
      <c r="CQ15" s="92"/>
      <c r="CR15" s="91"/>
      <c r="CS15" s="92"/>
      <c r="CT15" s="92"/>
      <c r="CU15" s="92"/>
      <c r="CV15" s="91"/>
      <c r="CW15" s="92"/>
      <c r="CX15" s="92"/>
      <c r="CY15" s="92"/>
      <c r="CZ15" s="91"/>
      <c r="DA15" s="92"/>
      <c r="DB15" s="92"/>
      <c r="DC15" s="92"/>
      <c r="DD15" s="91"/>
      <c r="DE15" s="92"/>
      <c r="DF15" s="92"/>
      <c r="DG15" s="92"/>
      <c r="DH15" s="91"/>
      <c r="DI15" s="92"/>
      <c r="DJ15" s="92"/>
      <c r="DK15" s="92"/>
      <c r="DL15" s="91"/>
      <c r="DM15" s="92"/>
      <c r="DN15" s="92"/>
      <c r="DO15" s="92"/>
      <c r="DP15" s="91"/>
      <c r="DQ15" s="92"/>
      <c r="DR15" s="92"/>
      <c r="DS15" s="92"/>
      <c r="DT15" s="91"/>
      <c r="DU15" s="92"/>
      <c r="DV15" s="92"/>
      <c r="DW15" s="92"/>
      <c r="DX15" s="91"/>
      <c r="DY15" s="92"/>
      <c r="DZ15" s="92"/>
      <c r="EA15" s="92"/>
      <c r="EB15" s="91"/>
      <c r="EC15" s="92"/>
      <c r="ED15" s="92"/>
      <c r="EE15" s="92"/>
      <c r="EF15" s="91"/>
      <c r="EG15" s="92"/>
      <c r="EH15" s="92"/>
      <c r="EI15" s="92"/>
      <c r="EJ15" s="91"/>
      <c r="EK15" s="92"/>
      <c r="EL15" s="92"/>
      <c r="EM15" s="92"/>
      <c r="EN15" s="91"/>
      <c r="EO15" s="92"/>
      <c r="EP15" s="92"/>
      <c r="EQ15" s="92"/>
      <c r="ER15" s="91"/>
      <c r="ES15" s="92"/>
      <c r="ET15" s="92"/>
      <c r="EU15" s="92"/>
      <c r="EV15" s="91"/>
      <c r="EW15" s="92"/>
      <c r="EX15" s="92"/>
      <c r="EY15" s="92"/>
      <c r="EZ15" s="91"/>
      <c r="FA15" s="92"/>
      <c r="FB15" s="92"/>
      <c r="FC15" s="92"/>
      <c r="FD15" s="91"/>
      <c r="FE15" s="92"/>
      <c r="FF15" s="92"/>
      <c r="FG15" s="92"/>
      <c r="FH15" s="91"/>
      <c r="FI15" s="92"/>
      <c r="FJ15" s="92"/>
      <c r="FK15" s="92"/>
      <c r="FL15" s="91"/>
      <c r="FM15" s="92"/>
      <c r="FN15" s="92"/>
      <c r="FO15" s="92"/>
      <c r="FP15" s="91"/>
      <c r="FQ15" s="92"/>
      <c r="FR15" s="92"/>
      <c r="FS15" s="92"/>
      <c r="FT15" s="91"/>
      <c r="FU15" s="92"/>
      <c r="FV15" s="92"/>
      <c r="FW15" s="92"/>
      <c r="FX15" s="91"/>
      <c r="FY15" s="92"/>
      <c r="FZ15" s="92"/>
      <c r="GA15" s="92"/>
      <c r="GB15" s="91"/>
      <c r="GC15" s="94"/>
    </row>
    <row r="16" spans="1:185" s="1" customFormat="1" ht="9.75" customHeight="1" thickBot="1" x14ac:dyDescent="0.25">
      <c r="A16" s="3">
        <v>266.7</v>
      </c>
      <c r="B16" s="107"/>
      <c r="C16" s="99"/>
      <c r="D16" s="101"/>
      <c r="E16" s="99"/>
      <c r="F16" s="99"/>
      <c r="G16" s="98"/>
      <c r="H16" s="99"/>
      <c r="I16" s="99"/>
      <c r="J16" s="99"/>
      <c r="K16" s="98"/>
      <c r="L16" s="99"/>
      <c r="M16" s="99"/>
      <c r="N16" s="99"/>
      <c r="O16" s="98"/>
      <c r="P16" s="99"/>
      <c r="Q16" s="99"/>
      <c r="R16" s="99"/>
      <c r="S16" s="98"/>
      <c r="T16" s="99"/>
      <c r="U16" s="99"/>
      <c r="V16" s="99"/>
      <c r="W16" s="98"/>
      <c r="X16" s="99"/>
      <c r="Y16" s="99"/>
      <c r="Z16" s="99"/>
      <c r="AA16" s="98"/>
      <c r="AB16" s="99"/>
      <c r="AC16" s="99"/>
      <c r="AD16" s="99"/>
      <c r="AE16" s="98"/>
      <c r="AF16" s="99"/>
      <c r="AG16" s="99"/>
      <c r="AH16" s="99"/>
      <c r="AI16" s="98"/>
      <c r="AJ16" s="99"/>
      <c r="AK16" s="99"/>
      <c r="AL16" s="99"/>
      <c r="AM16" s="98"/>
      <c r="AN16" s="99"/>
      <c r="AO16" s="99"/>
      <c r="AP16" s="99"/>
      <c r="AQ16" s="98"/>
      <c r="AR16" s="99"/>
      <c r="AS16" s="99"/>
      <c r="AT16" s="99"/>
      <c r="AU16" s="98"/>
      <c r="AV16" s="99"/>
      <c r="AW16" s="99"/>
      <c r="AX16" s="99"/>
      <c r="AY16" s="98"/>
      <c r="AZ16" s="99"/>
      <c r="BA16" s="99"/>
      <c r="BB16" s="99"/>
      <c r="BC16" s="98"/>
      <c r="BD16" s="99"/>
      <c r="BE16" s="99"/>
      <c r="BF16" s="99"/>
      <c r="BG16" s="98"/>
      <c r="BH16" s="99"/>
      <c r="BI16" s="99"/>
      <c r="BJ16" s="99"/>
      <c r="BK16" s="98"/>
      <c r="BL16" s="99"/>
      <c r="BM16" s="99"/>
      <c r="BN16" s="99"/>
      <c r="BO16" s="98"/>
      <c r="BP16" s="99"/>
      <c r="BQ16" s="99"/>
      <c r="BR16" s="99"/>
      <c r="BS16" s="98"/>
      <c r="BT16" s="99"/>
      <c r="BU16" s="99"/>
      <c r="BV16" s="99"/>
      <c r="BW16" s="98"/>
      <c r="BX16" s="99"/>
      <c r="BY16" s="99"/>
      <c r="BZ16" s="99"/>
      <c r="CA16" s="98"/>
      <c r="CB16" s="99"/>
      <c r="CC16" s="99"/>
      <c r="CD16" s="99"/>
      <c r="CE16" s="98"/>
      <c r="CF16" s="99"/>
      <c r="CG16" s="99"/>
      <c r="CH16" s="99"/>
      <c r="CI16" s="98"/>
      <c r="CJ16" s="99"/>
      <c r="CK16" s="99"/>
      <c r="CL16" s="99"/>
      <c r="CM16" s="98"/>
      <c r="CN16" s="99"/>
      <c r="CO16" s="99"/>
      <c r="CP16" s="99"/>
      <c r="CQ16" s="98"/>
      <c r="CR16" s="99"/>
      <c r="CS16" s="99"/>
      <c r="CT16" s="99"/>
      <c r="CU16" s="98"/>
      <c r="CV16" s="99"/>
      <c r="CW16" s="99"/>
      <c r="CX16" s="99"/>
      <c r="CY16" s="98"/>
      <c r="CZ16" s="99"/>
      <c r="DA16" s="99"/>
      <c r="DB16" s="99"/>
      <c r="DC16" s="98"/>
      <c r="DD16" s="99"/>
      <c r="DE16" s="99"/>
      <c r="DF16" s="99"/>
      <c r="DG16" s="98"/>
      <c r="DH16" s="99"/>
      <c r="DI16" s="99"/>
      <c r="DJ16" s="99"/>
      <c r="DK16" s="98"/>
      <c r="DL16" s="99"/>
      <c r="DM16" s="99"/>
      <c r="DN16" s="99"/>
      <c r="DO16" s="98"/>
      <c r="DP16" s="99"/>
      <c r="DQ16" s="99"/>
      <c r="DR16" s="99"/>
      <c r="DS16" s="98"/>
      <c r="DT16" s="99"/>
      <c r="DU16" s="99"/>
      <c r="DV16" s="99"/>
      <c r="DW16" s="98"/>
      <c r="DX16" s="99"/>
      <c r="DY16" s="99"/>
      <c r="DZ16" s="99"/>
      <c r="EA16" s="98"/>
      <c r="EB16" s="99"/>
      <c r="EC16" s="99"/>
      <c r="ED16" s="99"/>
      <c r="EE16" s="98"/>
      <c r="EF16" s="99"/>
      <c r="EG16" s="99"/>
      <c r="EH16" s="99"/>
      <c r="EI16" s="98"/>
      <c r="EJ16" s="99"/>
      <c r="EK16" s="99"/>
      <c r="EL16" s="99"/>
      <c r="EM16" s="98"/>
      <c r="EN16" s="99"/>
      <c r="EO16" s="99"/>
      <c r="EP16" s="99"/>
      <c r="EQ16" s="98"/>
      <c r="ER16" s="99"/>
      <c r="ES16" s="99"/>
      <c r="ET16" s="99"/>
      <c r="EU16" s="98"/>
      <c r="EV16" s="99"/>
      <c r="EW16" s="99"/>
      <c r="EX16" s="99"/>
      <c r="EY16" s="98"/>
      <c r="EZ16" s="99"/>
      <c r="FA16" s="99"/>
      <c r="FB16" s="99"/>
      <c r="FC16" s="98"/>
      <c r="FD16" s="99"/>
      <c r="FE16" s="99"/>
      <c r="FF16" s="99"/>
      <c r="FG16" s="98"/>
      <c r="FH16" s="99"/>
      <c r="FI16" s="99"/>
      <c r="FJ16" s="99"/>
      <c r="FK16" s="98"/>
      <c r="FL16" s="99"/>
      <c r="FM16" s="99"/>
      <c r="FN16" s="99"/>
      <c r="FO16" s="98"/>
      <c r="FP16" s="99"/>
      <c r="FQ16" s="99"/>
      <c r="FR16" s="99"/>
      <c r="FS16" s="98"/>
      <c r="FT16" s="99"/>
      <c r="FU16" s="99"/>
      <c r="FV16" s="99"/>
      <c r="FW16" s="98"/>
      <c r="FX16" s="99"/>
      <c r="FY16" s="99"/>
      <c r="FZ16" s="99"/>
      <c r="GA16" s="98"/>
      <c r="GB16" s="102"/>
      <c r="GC16" s="115"/>
    </row>
    <row r="17" spans="1:185" s="1" customFormat="1" ht="9.75" customHeight="1" thickBot="1" x14ac:dyDescent="0.25">
      <c r="A17" s="3">
        <v>260</v>
      </c>
      <c r="B17" s="103"/>
      <c r="C17" s="95"/>
      <c r="D17" s="71"/>
      <c r="E17" s="71"/>
      <c r="F17" s="91"/>
      <c r="G17" s="92"/>
      <c r="H17" s="92"/>
      <c r="I17" s="92"/>
      <c r="J17" s="91"/>
      <c r="K17" s="92"/>
      <c r="L17" s="92"/>
      <c r="M17" s="92"/>
      <c r="N17" s="91"/>
      <c r="O17" s="92"/>
      <c r="P17" s="92"/>
      <c r="Q17" s="92"/>
      <c r="R17" s="91"/>
      <c r="S17" s="92"/>
      <c r="T17" s="92"/>
      <c r="U17" s="92"/>
      <c r="V17" s="91"/>
      <c r="W17" s="92"/>
      <c r="X17" s="92"/>
      <c r="Y17" s="92"/>
      <c r="Z17" s="91"/>
      <c r="AA17" s="92"/>
      <c r="AB17" s="92"/>
      <c r="AC17" s="92"/>
      <c r="AD17" s="91"/>
      <c r="AE17" s="92"/>
      <c r="AF17" s="92"/>
      <c r="AG17" s="92"/>
      <c r="AH17" s="91"/>
      <c r="AI17" s="92"/>
      <c r="AJ17" s="92"/>
      <c r="AK17" s="92"/>
      <c r="AL17" s="91"/>
      <c r="AM17" s="92"/>
      <c r="AN17" s="92"/>
      <c r="AO17" s="92"/>
      <c r="AP17" s="91"/>
      <c r="AQ17" s="92"/>
      <c r="AR17" s="92"/>
      <c r="AS17" s="92"/>
      <c r="AT17" s="91"/>
      <c r="AU17" s="92"/>
      <c r="AV17" s="92"/>
      <c r="AW17" s="92"/>
      <c r="AX17" s="91"/>
      <c r="AY17" s="92"/>
      <c r="AZ17" s="92"/>
      <c r="BA17" s="92"/>
      <c r="BB17" s="91"/>
      <c r="BC17" s="92"/>
      <c r="BD17" s="92"/>
      <c r="BE17" s="92"/>
      <c r="BF17" s="91"/>
      <c r="BG17" s="92"/>
      <c r="BH17" s="92"/>
      <c r="BI17" s="92"/>
      <c r="BJ17" s="91"/>
      <c r="BK17" s="92"/>
      <c r="BL17" s="92"/>
      <c r="BM17" s="92"/>
      <c r="BN17" s="91"/>
      <c r="BO17" s="92"/>
      <c r="BP17" s="92"/>
      <c r="BQ17" s="92"/>
      <c r="BR17" s="91"/>
      <c r="BS17" s="92"/>
      <c r="BT17" s="92"/>
      <c r="BU17" s="92"/>
      <c r="BV17" s="91"/>
      <c r="BW17" s="92"/>
      <c r="BX17" s="92"/>
      <c r="BY17" s="92"/>
      <c r="BZ17" s="91"/>
      <c r="CA17" s="92"/>
      <c r="CB17" s="92"/>
      <c r="CC17" s="92"/>
      <c r="CD17" s="91"/>
      <c r="CE17" s="92"/>
      <c r="CF17" s="92"/>
      <c r="CG17" s="92"/>
      <c r="CH17" s="91"/>
      <c r="CI17" s="92"/>
      <c r="CJ17" s="92"/>
      <c r="CK17" s="92"/>
      <c r="CL17" s="91"/>
      <c r="CM17" s="92"/>
      <c r="CN17" s="92"/>
      <c r="CO17" s="92"/>
      <c r="CP17" s="91"/>
      <c r="CQ17" s="92"/>
      <c r="CR17" s="92"/>
      <c r="CS17" s="92"/>
      <c r="CT17" s="91"/>
      <c r="CU17" s="92"/>
      <c r="CV17" s="92"/>
      <c r="CW17" s="92"/>
      <c r="CX17" s="91"/>
      <c r="CY17" s="92"/>
      <c r="CZ17" s="92"/>
      <c r="DA17" s="92"/>
      <c r="DB17" s="91"/>
      <c r="DC17" s="92"/>
      <c r="DD17" s="92"/>
      <c r="DE17" s="92"/>
      <c r="DF17" s="91"/>
      <c r="DG17" s="92"/>
      <c r="DH17" s="92"/>
      <c r="DI17" s="92"/>
      <c r="DJ17" s="91"/>
      <c r="DK17" s="92"/>
      <c r="DL17" s="92"/>
      <c r="DM17" s="92"/>
      <c r="DN17" s="91"/>
      <c r="DO17" s="92"/>
      <c r="DP17" s="92"/>
      <c r="DQ17" s="92"/>
      <c r="DR17" s="91"/>
      <c r="DS17" s="92"/>
      <c r="DT17" s="92"/>
      <c r="DU17" s="92"/>
      <c r="DV17" s="91"/>
      <c r="DW17" s="92"/>
      <c r="DX17" s="92"/>
      <c r="DY17" s="92"/>
      <c r="DZ17" s="91"/>
      <c r="EA17" s="92"/>
      <c r="EB17" s="92"/>
      <c r="EC17" s="92"/>
      <c r="ED17" s="91"/>
      <c r="EE17" s="92"/>
      <c r="EF17" s="92"/>
      <c r="EG17" s="92"/>
      <c r="EH17" s="91"/>
      <c r="EI17" s="92"/>
      <c r="EJ17" s="92"/>
      <c r="EK17" s="92"/>
      <c r="EL17" s="91"/>
      <c r="EM17" s="92"/>
      <c r="EN17" s="92"/>
      <c r="EO17" s="92"/>
      <c r="EP17" s="91"/>
      <c r="EQ17" s="92"/>
      <c r="ER17" s="92"/>
      <c r="ES17" s="92"/>
      <c r="ET17" s="91"/>
      <c r="EU17" s="92"/>
      <c r="EV17" s="92"/>
      <c r="EW17" s="92"/>
      <c r="EX17" s="91"/>
      <c r="EY17" s="92"/>
      <c r="EZ17" s="92"/>
      <c r="FA17" s="92"/>
      <c r="FB17" s="91"/>
      <c r="FC17" s="92"/>
      <c r="FD17" s="92"/>
      <c r="FE17" s="92"/>
      <c r="FF17" s="91"/>
      <c r="FG17" s="92"/>
      <c r="FH17" s="92"/>
      <c r="FI17" s="92"/>
      <c r="FJ17" s="91"/>
      <c r="FK17" s="92"/>
      <c r="FL17" s="92"/>
      <c r="FM17" s="92"/>
      <c r="FN17" s="91"/>
      <c r="FO17" s="92"/>
      <c r="FP17" s="92"/>
      <c r="FQ17" s="92"/>
      <c r="FR17" s="91"/>
      <c r="FS17" s="92"/>
      <c r="FT17" s="92"/>
      <c r="FU17" s="92"/>
      <c r="FV17" s="91"/>
      <c r="FW17" s="92"/>
      <c r="FX17" s="92"/>
      <c r="FY17" s="92"/>
      <c r="FZ17" s="91"/>
      <c r="GA17" s="92"/>
      <c r="GB17" s="98"/>
      <c r="GC17" s="100"/>
    </row>
    <row r="18" spans="1:185" s="1" customFormat="1" ht="9.75" customHeight="1" thickBot="1" x14ac:dyDescent="0.25">
      <c r="A18" s="3">
        <v>253.3</v>
      </c>
      <c r="B18" s="103"/>
      <c r="C18" s="92"/>
      <c r="D18" s="101"/>
      <c r="E18" s="99"/>
      <c r="F18" s="92"/>
      <c r="G18" s="91"/>
      <c r="H18" s="92"/>
      <c r="I18" s="92"/>
      <c r="J18" s="92"/>
      <c r="K18" s="91"/>
      <c r="L18" s="92"/>
      <c r="M18" s="92"/>
      <c r="N18" s="92"/>
      <c r="O18" s="91"/>
      <c r="P18" s="92"/>
      <c r="Q18" s="92"/>
      <c r="R18" s="92"/>
      <c r="S18" s="91"/>
      <c r="T18" s="92"/>
      <c r="U18" s="92"/>
      <c r="V18" s="92"/>
      <c r="W18" s="91"/>
      <c r="X18" s="92"/>
      <c r="Y18" s="92"/>
      <c r="Z18" s="92"/>
      <c r="AA18" s="91"/>
      <c r="AB18" s="92"/>
      <c r="AC18" s="92"/>
      <c r="AD18" s="92"/>
      <c r="AE18" s="91"/>
      <c r="AF18" s="92"/>
      <c r="AG18" s="92"/>
      <c r="AH18" s="92"/>
      <c r="AI18" s="91"/>
      <c r="AJ18" s="92"/>
      <c r="AK18" s="92"/>
      <c r="AL18" s="92"/>
      <c r="AM18" s="91"/>
      <c r="AN18" s="92"/>
      <c r="AO18" s="92"/>
      <c r="AP18" s="92"/>
      <c r="AQ18" s="91"/>
      <c r="AR18" s="92"/>
      <c r="AS18" s="92"/>
      <c r="AT18" s="92"/>
      <c r="AU18" s="91"/>
      <c r="AV18" s="92"/>
      <c r="AW18" s="92"/>
      <c r="AX18" s="92"/>
      <c r="AY18" s="91"/>
      <c r="AZ18" s="92"/>
      <c r="BA18" s="92"/>
      <c r="BB18" s="92"/>
      <c r="BC18" s="91"/>
      <c r="BD18" s="92"/>
      <c r="BE18" s="92"/>
      <c r="BF18" s="92"/>
      <c r="BG18" s="91"/>
      <c r="BH18" s="92"/>
      <c r="BI18" s="92"/>
      <c r="BJ18" s="92"/>
      <c r="BK18" s="91"/>
      <c r="BL18" s="92"/>
      <c r="BM18" s="92"/>
      <c r="BN18" s="92"/>
      <c r="BO18" s="91"/>
      <c r="BP18" s="92"/>
      <c r="BQ18" s="92"/>
      <c r="BR18" s="92"/>
      <c r="BS18" s="91"/>
      <c r="BT18" s="92"/>
      <c r="BU18" s="92"/>
      <c r="BV18" s="92"/>
      <c r="BW18" s="91"/>
      <c r="BX18" s="92"/>
      <c r="BY18" s="92"/>
      <c r="BZ18" s="92"/>
      <c r="CA18" s="91"/>
      <c r="CB18" s="92"/>
      <c r="CC18" s="92"/>
      <c r="CD18" s="92"/>
      <c r="CE18" s="91"/>
      <c r="CF18" s="92"/>
      <c r="CG18" s="92"/>
      <c r="CH18" s="92"/>
      <c r="CI18" s="91"/>
      <c r="CJ18" s="92"/>
      <c r="CK18" s="92"/>
      <c r="CL18" s="92"/>
      <c r="CM18" s="91"/>
      <c r="CN18" s="92"/>
      <c r="CO18" s="92"/>
      <c r="CP18" s="92"/>
      <c r="CQ18" s="91"/>
      <c r="CR18" s="92"/>
      <c r="CS18" s="92"/>
      <c r="CT18" s="92"/>
      <c r="CU18" s="91"/>
      <c r="CV18" s="92"/>
      <c r="CW18" s="92"/>
      <c r="CX18" s="92"/>
      <c r="CY18" s="91"/>
      <c r="CZ18" s="92"/>
      <c r="DA18" s="92"/>
      <c r="DB18" s="92"/>
      <c r="DC18" s="91"/>
      <c r="DD18" s="92"/>
      <c r="DE18" s="92"/>
      <c r="DF18" s="92"/>
      <c r="DG18" s="91"/>
      <c r="DH18" s="92"/>
      <c r="DI18" s="92"/>
      <c r="DJ18" s="92"/>
      <c r="DK18" s="91"/>
      <c r="DL18" s="92"/>
      <c r="DM18" s="92"/>
      <c r="DN18" s="92"/>
      <c r="DO18" s="91"/>
      <c r="DP18" s="92"/>
      <c r="DQ18" s="92"/>
      <c r="DR18" s="92"/>
      <c r="DS18" s="91"/>
      <c r="DT18" s="92"/>
      <c r="DU18" s="92"/>
      <c r="DV18" s="92"/>
      <c r="DW18" s="91"/>
      <c r="DX18" s="92"/>
      <c r="DY18" s="92"/>
      <c r="DZ18" s="92"/>
      <c r="EA18" s="91"/>
      <c r="EB18" s="92"/>
      <c r="EC18" s="92"/>
      <c r="ED18" s="92"/>
      <c r="EE18" s="91"/>
      <c r="EF18" s="92"/>
      <c r="EG18" s="92"/>
      <c r="EH18" s="92"/>
      <c r="EI18" s="91"/>
      <c r="EJ18" s="92"/>
      <c r="EK18" s="92"/>
      <c r="EL18" s="92"/>
      <c r="EM18" s="91"/>
      <c r="EN18" s="92"/>
      <c r="EO18" s="92"/>
      <c r="EP18" s="92"/>
      <c r="EQ18" s="91"/>
      <c r="ER18" s="92"/>
      <c r="ES18" s="92"/>
      <c r="ET18" s="92"/>
      <c r="EU18" s="91"/>
      <c r="EV18" s="92"/>
      <c r="EW18" s="92"/>
      <c r="EX18" s="92"/>
      <c r="EY18" s="91"/>
      <c r="EZ18" s="92"/>
      <c r="FA18" s="92"/>
      <c r="FB18" s="92"/>
      <c r="FC18" s="91"/>
      <c r="FD18" s="92"/>
      <c r="FE18" s="92"/>
      <c r="FF18" s="92"/>
      <c r="FG18" s="91"/>
      <c r="FH18" s="92"/>
      <c r="FI18" s="92"/>
      <c r="FJ18" s="92"/>
      <c r="FK18" s="91"/>
      <c r="FL18" s="92"/>
      <c r="FM18" s="92"/>
      <c r="FN18" s="92"/>
      <c r="FO18" s="91"/>
      <c r="FP18" s="92"/>
      <c r="FQ18" s="92"/>
      <c r="FR18" s="92"/>
      <c r="FS18" s="91"/>
      <c r="FT18" s="92"/>
      <c r="FU18" s="92"/>
      <c r="FV18" s="92"/>
      <c r="FW18" s="91"/>
      <c r="FX18" s="92"/>
      <c r="FY18" s="92"/>
      <c r="FZ18" s="92"/>
      <c r="GA18" s="91"/>
      <c r="GB18" s="92"/>
      <c r="GC18" s="94"/>
    </row>
    <row r="19" spans="1:185" s="1" customFormat="1" ht="9.75" customHeight="1" thickBot="1" x14ac:dyDescent="0.25">
      <c r="A19" s="3">
        <v>246.7</v>
      </c>
      <c r="B19" s="103"/>
      <c r="C19" s="95"/>
      <c r="D19" s="92"/>
      <c r="E19" s="92"/>
      <c r="F19" s="92"/>
      <c r="G19" s="92"/>
      <c r="H19" s="91"/>
      <c r="I19" s="92"/>
      <c r="J19" s="92"/>
      <c r="K19" s="92"/>
      <c r="L19" s="91"/>
      <c r="M19" s="92"/>
      <c r="N19" s="92"/>
      <c r="O19" s="92"/>
      <c r="P19" s="91"/>
      <c r="Q19" s="92"/>
      <c r="R19" s="92"/>
      <c r="S19" s="92"/>
      <c r="T19" s="91"/>
      <c r="U19" s="92"/>
      <c r="V19" s="92"/>
      <c r="W19" s="92"/>
      <c r="X19" s="91"/>
      <c r="Y19" s="92"/>
      <c r="Z19" s="92"/>
      <c r="AA19" s="92"/>
      <c r="AB19" s="91"/>
      <c r="AC19" s="92"/>
      <c r="AD19" s="92"/>
      <c r="AE19" s="92"/>
      <c r="AF19" s="91"/>
      <c r="AG19" s="92"/>
      <c r="AH19" s="92"/>
      <c r="AI19" s="92"/>
      <c r="AJ19" s="91"/>
      <c r="AK19" s="92"/>
      <c r="AL19" s="92"/>
      <c r="AM19" s="92"/>
      <c r="AN19" s="91"/>
      <c r="AO19" s="92"/>
      <c r="AP19" s="92"/>
      <c r="AQ19" s="92"/>
      <c r="AR19" s="91"/>
      <c r="AS19" s="92"/>
      <c r="AT19" s="92"/>
      <c r="AU19" s="92"/>
      <c r="AV19" s="91"/>
      <c r="AW19" s="92"/>
      <c r="AX19" s="92"/>
      <c r="AY19" s="92"/>
      <c r="AZ19" s="91"/>
      <c r="BA19" s="92"/>
      <c r="BB19" s="92"/>
      <c r="BC19" s="92"/>
      <c r="BD19" s="91"/>
      <c r="BE19" s="92"/>
      <c r="BF19" s="92"/>
      <c r="BG19" s="92"/>
      <c r="BH19" s="91"/>
      <c r="BI19" s="92"/>
      <c r="BJ19" s="92"/>
      <c r="BK19" s="92"/>
      <c r="BL19" s="91"/>
      <c r="BM19" s="92"/>
      <c r="BN19" s="92"/>
      <c r="BO19" s="92"/>
      <c r="BP19" s="91"/>
      <c r="BQ19" s="92"/>
      <c r="BR19" s="92"/>
      <c r="BS19" s="92"/>
      <c r="BT19" s="91"/>
      <c r="BU19" s="92"/>
      <c r="BV19" s="92"/>
      <c r="BW19" s="92"/>
      <c r="BX19" s="91"/>
      <c r="BY19" s="92"/>
      <c r="BZ19" s="92"/>
      <c r="CA19" s="92"/>
      <c r="CB19" s="91"/>
      <c r="CC19" s="92"/>
      <c r="CD19" s="92"/>
      <c r="CE19" s="92"/>
      <c r="CF19" s="91"/>
      <c r="CG19" s="92"/>
      <c r="CH19" s="92"/>
      <c r="CI19" s="92"/>
      <c r="CJ19" s="91"/>
      <c r="CK19" s="92"/>
      <c r="CL19" s="92"/>
      <c r="CM19" s="92"/>
      <c r="CN19" s="91"/>
      <c r="CO19" s="92"/>
      <c r="CP19" s="92"/>
      <c r="CQ19" s="92"/>
      <c r="CR19" s="91"/>
      <c r="CS19" s="92"/>
      <c r="CT19" s="92"/>
      <c r="CU19" s="92"/>
      <c r="CV19" s="91"/>
      <c r="CW19" s="92"/>
      <c r="CX19" s="92"/>
      <c r="CY19" s="92"/>
      <c r="CZ19" s="91"/>
      <c r="DA19" s="92"/>
      <c r="DB19" s="92"/>
      <c r="DC19" s="92"/>
      <c r="DD19" s="91"/>
      <c r="DE19" s="92"/>
      <c r="DF19" s="92"/>
      <c r="DG19" s="92"/>
      <c r="DH19" s="91"/>
      <c r="DI19" s="92"/>
      <c r="DJ19" s="92"/>
      <c r="DK19" s="92"/>
      <c r="DL19" s="116"/>
      <c r="DM19" s="117"/>
      <c r="DN19" s="117"/>
      <c r="DO19" s="117"/>
      <c r="DP19" s="116"/>
      <c r="DQ19" s="117"/>
      <c r="DR19" s="117"/>
      <c r="DS19" s="117"/>
      <c r="DT19" s="116"/>
      <c r="DU19" s="117"/>
      <c r="DV19" s="117"/>
      <c r="DW19" s="117"/>
      <c r="DX19" s="116"/>
      <c r="DY19" s="117"/>
      <c r="DZ19" s="117"/>
      <c r="EA19" s="117"/>
      <c r="EB19" s="116"/>
      <c r="EC19" s="117"/>
      <c r="ED19" s="117"/>
      <c r="EE19" s="117"/>
      <c r="EF19" s="116"/>
      <c r="EG19" s="117"/>
      <c r="EH19" s="117"/>
      <c r="EI19" s="117"/>
      <c r="EJ19" s="116"/>
      <c r="EK19" s="117"/>
      <c r="EL19" s="117"/>
      <c r="EM19" s="117"/>
      <c r="EN19" s="116"/>
      <c r="EO19" s="117"/>
      <c r="EP19" s="117"/>
      <c r="EQ19" s="117"/>
      <c r="ER19" s="116"/>
      <c r="ES19" s="117"/>
      <c r="ET19" s="117"/>
      <c r="EU19" s="117"/>
      <c r="EV19" s="116"/>
      <c r="EW19" s="117"/>
      <c r="EX19" s="117"/>
      <c r="EY19" s="117"/>
      <c r="EZ19" s="116"/>
      <c r="FA19" s="117"/>
      <c r="FB19" s="117"/>
      <c r="FC19" s="117"/>
      <c r="FD19" s="116"/>
      <c r="FE19" s="117"/>
      <c r="FF19" s="117"/>
      <c r="FG19" s="117"/>
      <c r="FH19" s="116"/>
      <c r="FI19" s="117"/>
      <c r="FJ19" s="117"/>
      <c r="FK19" s="117"/>
      <c r="FL19" s="116"/>
      <c r="FM19" s="117"/>
      <c r="FN19" s="117"/>
      <c r="FO19" s="117"/>
      <c r="FP19" s="116"/>
      <c r="FQ19" s="117"/>
      <c r="FR19" s="117"/>
      <c r="FS19" s="117"/>
      <c r="FT19" s="91"/>
      <c r="FU19" s="92"/>
      <c r="FV19" s="92"/>
      <c r="FW19" s="92"/>
      <c r="FX19" s="91"/>
      <c r="FY19" s="92"/>
      <c r="FZ19" s="92"/>
      <c r="GA19" s="92"/>
      <c r="GB19" s="91"/>
      <c r="GC19" s="94"/>
    </row>
    <row r="20" spans="1:185" s="71" customFormat="1" ht="9.75" customHeight="1" thickBot="1" x14ac:dyDescent="0.25">
      <c r="A20" s="6">
        <v>240</v>
      </c>
      <c r="B20" s="107"/>
      <c r="C20" s="99"/>
      <c r="D20" s="101"/>
      <c r="E20" s="99"/>
      <c r="F20" s="99"/>
      <c r="G20" s="98"/>
      <c r="H20" s="99"/>
      <c r="I20" s="99"/>
      <c r="J20" s="99"/>
      <c r="K20" s="98"/>
      <c r="L20" s="99"/>
      <c r="M20" s="99"/>
      <c r="N20" s="99"/>
      <c r="O20" s="98"/>
      <c r="P20" s="99"/>
      <c r="Q20" s="99"/>
      <c r="R20" s="99"/>
      <c r="S20" s="98"/>
      <c r="T20" s="99"/>
      <c r="U20" s="99"/>
      <c r="V20" s="99"/>
      <c r="W20" s="98"/>
      <c r="X20" s="99"/>
      <c r="Y20" s="99"/>
      <c r="Z20" s="99"/>
      <c r="AA20" s="98"/>
      <c r="AB20" s="99"/>
      <c r="AC20" s="99"/>
      <c r="AD20" s="99"/>
      <c r="AE20" s="98"/>
      <c r="AF20" s="99"/>
      <c r="AG20" s="99"/>
      <c r="AH20" s="99"/>
      <c r="AI20" s="98"/>
      <c r="AJ20" s="99"/>
      <c r="AK20" s="99"/>
      <c r="AL20" s="99"/>
      <c r="AM20" s="98"/>
      <c r="AN20" s="99"/>
      <c r="AO20" s="99"/>
      <c r="AP20" s="99"/>
      <c r="AQ20" s="98"/>
      <c r="AR20" s="99"/>
      <c r="AS20" s="99"/>
      <c r="AT20" s="99"/>
      <c r="AU20" s="98"/>
      <c r="AV20" s="99"/>
      <c r="AW20" s="99"/>
      <c r="AX20" s="99"/>
      <c r="AY20" s="98"/>
      <c r="AZ20" s="99"/>
      <c r="BA20" s="99"/>
      <c r="BB20" s="99"/>
      <c r="BC20" s="98"/>
      <c r="BD20" s="99"/>
      <c r="BE20" s="99"/>
      <c r="BF20" s="99"/>
      <c r="BG20" s="98"/>
      <c r="BH20" s="99"/>
      <c r="BI20" s="99"/>
      <c r="BJ20" s="99"/>
      <c r="BK20" s="98"/>
      <c r="BL20" s="99"/>
      <c r="BM20" s="99"/>
      <c r="BN20" s="99"/>
      <c r="BO20" s="98"/>
      <c r="BP20" s="99"/>
      <c r="BQ20" s="99"/>
      <c r="BR20" s="99"/>
      <c r="BS20" s="98"/>
      <c r="BT20" s="99"/>
      <c r="BU20" s="99"/>
      <c r="BV20" s="99"/>
      <c r="BW20" s="98"/>
      <c r="BX20" s="99"/>
      <c r="BY20" s="99"/>
      <c r="BZ20" s="99"/>
      <c r="CA20" s="98"/>
      <c r="CB20" s="99"/>
      <c r="CC20" s="99"/>
      <c r="CD20" s="99"/>
      <c r="CE20" s="98"/>
      <c r="CF20" s="99"/>
      <c r="CG20" s="99"/>
      <c r="CH20" s="99"/>
      <c r="CI20" s="98"/>
      <c r="CJ20" s="99"/>
      <c r="CK20" s="99"/>
      <c r="CL20" s="99"/>
      <c r="CM20" s="98"/>
      <c r="CN20" s="99"/>
      <c r="CO20" s="99"/>
      <c r="CP20" s="99"/>
      <c r="CQ20" s="98"/>
      <c r="CR20" s="99"/>
      <c r="CS20" s="99"/>
      <c r="CT20" s="99"/>
      <c r="CU20" s="98"/>
      <c r="CV20" s="99"/>
      <c r="CW20" s="99"/>
      <c r="CX20" s="99"/>
      <c r="CY20" s="98"/>
      <c r="CZ20" s="99"/>
      <c r="DA20" s="99"/>
      <c r="DB20" s="99"/>
      <c r="DC20" s="98"/>
      <c r="DD20" s="99"/>
      <c r="DE20" s="99"/>
      <c r="DF20" s="99"/>
      <c r="DG20" s="98"/>
      <c r="DH20" s="99"/>
      <c r="DI20" s="99"/>
      <c r="DJ20" s="99"/>
      <c r="DK20" s="127"/>
      <c r="DL20" s="118"/>
      <c r="DM20" s="118"/>
      <c r="DN20" s="118"/>
      <c r="DO20" s="127"/>
      <c r="DP20" s="128"/>
      <c r="DQ20" s="128"/>
      <c r="DR20" s="128"/>
      <c r="DS20" s="129"/>
      <c r="DT20" s="128"/>
      <c r="DU20" s="128"/>
      <c r="DV20" s="128"/>
      <c r="DW20" s="129"/>
      <c r="DX20" s="128"/>
      <c r="DY20" s="128"/>
      <c r="DZ20" s="128"/>
      <c r="EA20" s="129"/>
      <c r="EB20" s="128"/>
      <c r="EC20" s="128"/>
      <c r="ED20" s="128"/>
      <c r="EE20" s="129"/>
      <c r="EF20" s="128"/>
      <c r="EG20" s="128"/>
      <c r="EH20" s="128"/>
      <c r="EI20" s="129"/>
      <c r="EJ20" s="128"/>
      <c r="EK20" s="128"/>
      <c r="EL20" s="128"/>
      <c r="EM20" s="129"/>
      <c r="EN20" s="128"/>
      <c r="EO20" s="128"/>
      <c r="EP20" s="128"/>
      <c r="EQ20" s="129"/>
      <c r="ER20" s="128"/>
      <c r="ES20" s="128"/>
      <c r="ET20" s="128"/>
      <c r="EU20" s="129"/>
      <c r="EV20" s="128"/>
      <c r="EW20" s="128"/>
      <c r="EX20" s="128"/>
      <c r="EY20" s="129"/>
      <c r="EZ20" s="128"/>
      <c r="FA20" s="128"/>
      <c r="FB20" s="128"/>
      <c r="FC20" s="129"/>
      <c r="FD20" s="128"/>
      <c r="FE20" s="128"/>
      <c r="FF20" s="128"/>
      <c r="FG20" s="129"/>
      <c r="FH20" s="128"/>
      <c r="FI20" s="128"/>
      <c r="FJ20" s="128"/>
      <c r="FK20" s="129"/>
      <c r="FL20" s="118"/>
      <c r="FM20" s="118"/>
      <c r="FN20" s="118"/>
      <c r="FO20" s="127"/>
      <c r="FP20" s="118"/>
      <c r="FQ20" s="118"/>
      <c r="FR20" s="118"/>
      <c r="FS20" s="98"/>
      <c r="FT20" s="99"/>
      <c r="FU20" s="99"/>
      <c r="FV20" s="99"/>
      <c r="FW20" s="98"/>
      <c r="FX20" s="99"/>
      <c r="FY20" s="99"/>
      <c r="FZ20" s="99"/>
      <c r="GA20" s="98"/>
      <c r="GB20" s="102"/>
      <c r="GC20" s="115"/>
    </row>
    <row r="21" spans="1:185" s="71" customFormat="1" ht="9.75" customHeight="1" thickBot="1" x14ac:dyDescent="0.25">
      <c r="A21" s="6">
        <v>233.3</v>
      </c>
      <c r="B21" s="103"/>
      <c r="C21" s="95"/>
      <c r="F21" s="91"/>
      <c r="G21" s="92"/>
      <c r="H21" s="92"/>
      <c r="I21" s="92"/>
      <c r="J21" s="91"/>
      <c r="K21" s="92"/>
      <c r="L21" s="92"/>
      <c r="M21" s="92"/>
      <c r="N21" s="91"/>
      <c r="O21" s="92"/>
      <c r="P21" s="92"/>
      <c r="Q21" s="92"/>
      <c r="R21" s="91"/>
      <c r="S21" s="92"/>
      <c r="T21" s="92"/>
      <c r="U21" s="92"/>
      <c r="V21" s="91"/>
      <c r="W21" s="92"/>
      <c r="X21" s="92"/>
      <c r="Y21" s="92"/>
      <c r="Z21" s="91"/>
      <c r="AA21" s="92"/>
      <c r="AB21" s="92"/>
      <c r="AC21" s="92"/>
      <c r="AD21" s="91"/>
      <c r="AE21" s="92"/>
      <c r="AF21" s="92"/>
      <c r="AG21" s="92"/>
      <c r="AH21" s="91"/>
      <c r="AI21" s="92"/>
      <c r="AJ21" s="92"/>
      <c r="AK21" s="92"/>
      <c r="AL21" s="91"/>
      <c r="AM21" s="92"/>
      <c r="AN21" s="92"/>
      <c r="AO21" s="92"/>
      <c r="AP21" s="91"/>
      <c r="AQ21" s="92"/>
      <c r="AR21" s="92"/>
      <c r="AS21" s="92"/>
      <c r="AT21" s="91"/>
      <c r="AU21" s="92"/>
      <c r="AV21" s="92"/>
      <c r="AW21" s="92"/>
      <c r="AX21" s="91"/>
      <c r="AY21" s="92"/>
      <c r="AZ21" s="92"/>
      <c r="BA21" s="92"/>
      <c r="BB21" s="91"/>
      <c r="BC21" s="92"/>
      <c r="BD21" s="92"/>
      <c r="BE21" s="92"/>
      <c r="BF21" s="91"/>
      <c r="BG21" s="92"/>
      <c r="BH21" s="92"/>
      <c r="BI21" s="92"/>
      <c r="BJ21" s="91"/>
      <c r="BK21" s="92"/>
      <c r="BL21" s="92"/>
      <c r="BM21" s="92"/>
      <c r="BN21" s="91"/>
      <c r="BO21" s="92"/>
      <c r="BP21" s="92"/>
      <c r="BQ21" s="92"/>
      <c r="BR21" s="91"/>
      <c r="BS21" s="92"/>
      <c r="BT21" s="92"/>
      <c r="BU21" s="92"/>
      <c r="BV21" s="91"/>
      <c r="BW21" s="92"/>
      <c r="BX21" s="92"/>
      <c r="BY21" s="92"/>
      <c r="BZ21" s="91"/>
      <c r="CA21" s="92"/>
      <c r="CB21" s="92"/>
      <c r="CC21" s="92"/>
      <c r="CD21" s="91"/>
      <c r="CE21" s="92"/>
      <c r="CF21" s="92"/>
      <c r="CG21" s="92"/>
      <c r="CH21" s="91"/>
      <c r="CI21" s="92"/>
      <c r="CJ21" s="92"/>
      <c r="CK21" s="92"/>
      <c r="CL21" s="91"/>
      <c r="CM21" s="92"/>
      <c r="CN21" s="92"/>
      <c r="CO21" s="92"/>
      <c r="CP21" s="91"/>
      <c r="CQ21" s="92"/>
      <c r="CR21" s="92"/>
      <c r="CS21" s="92"/>
      <c r="CT21" s="91"/>
      <c r="CU21" s="92"/>
      <c r="CV21" s="92"/>
      <c r="CW21" s="92"/>
      <c r="CX21" s="91"/>
      <c r="CY21" s="92"/>
      <c r="CZ21" s="92"/>
      <c r="DA21" s="92"/>
      <c r="DB21" s="91"/>
      <c r="DC21" s="92"/>
      <c r="DD21" s="92"/>
      <c r="DE21" s="92"/>
      <c r="DF21" s="91"/>
      <c r="DG21" s="92"/>
      <c r="DH21" s="92"/>
      <c r="DI21" s="92"/>
      <c r="DJ21" s="91"/>
      <c r="DK21" s="92"/>
      <c r="DL21" s="92"/>
      <c r="DN21" s="89"/>
      <c r="DP21" s="110"/>
      <c r="DQ21" s="105"/>
      <c r="DR21" s="105"/>
      <c r="DS21" s="105"/>
      <c r="DT21" s="105"/>
      <c r="DU21" s="105"/>
      <c r="DV21" s="105"/>
      <c r="DW21" s="105"/>
      <c r="DX21" s="105"/>
      <c r="DY21" s="105"/>
      <c r="DZ21" s="105"/>
      <c r="EA21" s="105"/>
      <c r="EB21" s="105"/>
      <c r="EC21" s="105"/>
      <c r="ED21" s="105"/>
      <c r="EE21" s="105"/>
      <c r="EF21" s="105"/>
      <c r="EG21" s="105"/>
      <c r="EH21" s="105"/>
      <c r="EI21" s="105"/>
      <c r="EJ21" s="105"/>
      <c r="EK21" s="105"/>
      <c r="EL21" s="105"/>
      <c r="EM21" s="105"/>
      <c r="EN21" s="105"/>
      <c r="EO21" s="105"/>
      <c r="EP21" s="105"/>
      <c r="EQ21" s="105"/>
      <c r="ER21" s="105"/>
      <c r="ES21" s="105"/>
      <c r="ET21" s="105"/>
      <c r="EU21" s="105"/>
      <c r="EV21" s="105"/>
      <c r="EW21" s="105"/>
      <c r="EX21" s="105"/>
      <c r="EY21" s="105"/>
      <c r="EZ21" s="105"/>
      <c r="FA21" s="105"/>
      <c r="FB21" s="105"/>
      <c r="FC21" s="105"/>
      <c r="FD21" s="105"/>
      <c r="FE21" s="105"/>
      <c r="FF21" s="105"/>
      <c r="FG21" s="105"/>
      <c r="FH21" s="105"/>
      <c r="FI21" s="105"/>
      <c r="FJ21" s="105"/>
      <c r="FK21" s="112"/>
      <c r="FL21" s="92"/>
      <c r="FM21" s="92"/>
      <c r="FN21" s="91"/>
      <c r="FO21" s="92"/>
      <c r="FP21" s="92"/>
      <c r="FQ21" s="92"/>
      <c r="FR21" s="91"/>
      <c r="FS21" s="92"/>
      <c r="FT21" s="92"/>
      <c r="FU21" s="92"/>
      <c r="FV21" s="91"/>
      <c r="FW21" s="92"/>
      <c r="FX21" s="92"/>
      <c r="FY21" s="92"/>
      <c r="FZ21" s="91"/>
      <c r="GA21" s="92"/>
      <c r="GB21" s="98"/>
      <c r="GC21" s="100"/>
    </row>
    <row r="22" spans="1:185" s="71" customFormat="1" ht="9.75" customHeight="1" thickBot="1" x14ac:dyDescent="0.25">
      <c r="A22" s="6">
        <v>226.7</v>
      </c>
      <c r="B22" s="103"/>
      <c r="C22" s="92"/>
      <c r="D22" s="101"/>
      <c r="E22" s="99"/>
      <c r="F22" s="92"/>
      <c r="G22" s="91"/>
      <c r="H22" s="92"/>
      <c r="I22" s="92"/>
      <c r="J22" s="92"/>
      <c r="K22" s="91"/>
      <c r="L22" s="92"/>
      <c r="M22" s="92"/>
      <c r="N22" s="92"/>
      <c r="O22" s="91"/>
      <c r="P22" s="92"/>
      <c r="Q22" s="92"/>
      <c r="R22" s="92"/>
      <c r="S22" s="91"/>
      <c r="T22" s="92"/>
      <c r="U22" s="92"/>
      <c r="V22" s="92"/>
      <c r="W22" s="91"/>
      <c r="X22" s="92"/>
      <c r="Y22" s="92"/>
      <c r="Z22" s="92"/>
      <c r="AA22" s="91"/>
      <c r="AB22" s="92"/>
      <c r="AC22" s="92"/>
      <c r="AD22" s="92"/>
      <c r="AE22" s="91"/>
      <c r="AF22" s="92"/>
      <c r="AG22" s="92"/>
      <c r="AH22" s="92"/>
      <c r="AI22" s="91"/>
      <c r="AJ22" s="92"/>
      <c r="AK22" s="92"/>
      <c r="AL22" s="92"/>
      <c r="AM22" s="91"/>
      <c r="AN22" s="92"/>
      <c r="AO22" s="92"/>
      <c r="AP22" s="92"/>
      <c r="AQ22" s="91"/>
      <c r="AR22" s="92"/>
      <c r="AS22" s="92"/>
      <c r="AT22" s="92"/>
      <c r="AU22" s="91"/>
      <c r="AV22" s="92"/>
      <c r="AW22" s="92"/>
      <c r="AX22" s="92"/>
      <c r="AY22" s="91"/>
      <c r="AZ22" s="92"/>
      <c r="BA22" s="92"/>
      <c r="BB22" s="92"/>
      <c r="BC22" s="91"/>
      <c r="BD22" s="92"/>
      <c r="BE22" s="92"/>
      <c r="BF22" s="92"/>
      <c r="BG22" s="91"/>
      <c r="BH22" s="92"/>
      <c r="BI22" s="92"/>
      <c r="BJ22" s="92"/>
      <c r="BK22" s="91"/>
      <c r="BL22" s="92"/>
      <c r="BM22" s="92"/>
      <c r="BN22" s="92"/>
      <c r="BO22" s="91"/>
      <c r="BP22" s="92"/>
      <c r="BQ22" s="92"/>
      <c r="BR22" s="92"/>
      <c r="BS22" s="91"/>
      <c r="BT22" s="92"/>
      <c r="BU22" s="92"/>
      <c r="BV22" s="92"/>
      <c r="BW22" s="91"/>
      <c r="BX22" s="92"/>
      <c r="BY22" s="92"/>
      <c r="BZ22" s="92"/>
      <c r="CA22" s="91"/>
      <c r="CB22" s="92"/>
      <c r="CC22" s="92"/>
      <c r="CD22" s="92"/>
      <c r="CE22" s="91"/>
      <c r="CF22" s="92"/>
      <c r="CG22" s="92"/>
      <c r="CH22" s="92"/>
      <c r="CI22" s="91"/>
      <c r="CJ22" s="92"/>
      <c r="CK22" s="92"/>
      <c r="CL22" s="92"/>
      <c r="CM22" s="91"/>
      <c r="CN22" s="92"/>
      <c r="CO22" s="92"/>
      <c r="CP22" s="92"/>
      <c r="CQ22" s="91"/>
      <c r="CR22" s="92"/>
      <c r="CS22" s="92"/>
      <c r="CT22" s="92"/>
      <c r="CU22" s="91"/>
      <c r="CV22" s="92"/>
      <c r="CW22" s="92"/>
      <c r="CX22" s="92"/>
      <c r="CY22" s="91"/>
      <c r="CZ22" s="92"/>
      <c r="DA22" s="92"/>
      <c r="DB22" s="92"/>
      <c r="DC22" s="91"/>
      <c r="DD22" s="92"/>
      <c r="DE22" s="92"/>
      <c r="DF22" s="92"/>
      <c r="DG22" s="91"/>
      <c r="DH22" s="92"/>
      <c r="DI22" s="92"/>
      <c r="DJ22" s="92"/>
      <c r="DK22" s="91"/>
      <c r="DL22" s="92"/>
      <c r="DM22" s="98"/>
      <c r="DN22" s="99"/>
      <c r="DO22" s="99"/>
      <c r="DP22" s="88"/>
      <c r="EN22" s="114" t="s">
        <v>91</v>
      </c>
      <c r="FK22" s="93"/>
      <c r="FL22" s="92"/>
      <c r="FM22" s="92"/>
      <c r="FN22" s="92"/>
      <c r="FO22" s="91"/>
      <c r="FP22" s="92"/>
      <c r="FQ22" s="92"/>
      <c r="FR22" s="92"/>
      <c r="FS22" s="91"/>
      <c r="FT22" s="92"/>
      <c r="FU22" s="92"/>
      <c r="FV22" s="92"/>
      <c r="FW22" s="91"/>
      <c r="FX22" s="92"/>
      <c r="FY22" s="92"/>
      <c r="FZ22" s="92"/>
      <c r="GA22" s="91"/>
      <c r="GB22" s="92"/>
      <c r="GC22" s="94"/>
    </row>
    <row r="23" spans="1:185" s="71" customFormat="1" ht="9.75" customHeight="1" thickBot="1" x14ac:dyDescent="0.25">
      <c r="A23" s="6">
        <v>220</v>
      </c>
      <c r="B23" s="103"/>
      <c r="C23" s="95"/>
      <c r="D23" s="92"/>
      <c r="E23" s="92"/>
      <c r="F23" s="92"/>
      <c r="G23" s="92"/>
      <c r="H23" s="91"/>
      <c r="I23" s="92"/>
      <c r="J23" s="92"/>
      <c r="K23" s="92"/>
      <c r="L23" s="119"/>
      <c r="M23" s="122"/>
      <c r="N23" s="122"/>
      <c r="O23" s="122"/>
      <c r="P23" s="119"/>
      <c r="Q23" s="122"/>
      <c r="R23" s="120"/>
      <c r="S23" s="120"/>
      <c r="T23" s="121"/>
      <c r="U23" s="120"/>
      <c r="V23" s="120"/>
      <c r="W23" s="120"/>
      <c r="X23" s="121"/>
      <c r="Y23" s="120"/>
      <c r="Z23" s="120"/>
      <c r="AA23" s="120"/>
      <c r="AB23" s="121"/>
      <c r="AC23" s="120"/>
      <c r="AD23" s="120"/>
      <c r="AE23" s="120"/>
      <c r="AF23" s="121"/>
      <c r="AG23" s="120"/>
      <c r="AH23" s="120"/>
      <c r="AI23" s="120"/>
      <c r="AJ23" s="121"/>
      <c r="AK23" s="120"/>
      <c r="AL23" s="120"/>
      <c r="AM23" s="120"/>
      <c r="AN23" s="121"/>
      <c r="AO23" s="120"/>
      <c r="AP23" s="120"/>
      <c r="AQ23" s="120"/>
      <c r="AR23" s="121"/>
      <c r="AS23" s="120"/>
      <c r="AT23" s="120"/>
      <c r="AU23" s="120"/>
      <c r="AV23" s="121"/>
      <c r="AW23" s="120"/>
      <c r="AX23" s="120"/>
      <c r="AY23" s="120"/>
      <c r="AZ23" s="121"/>
      <c r="BA23" s="122"/>
      <c r="BB23" s="122"/>
      <c r="BC23" s="122"/>
      <c r="BD23" s="91"/>
      <c r="BE23" s="92"/>
      <c r="BF23" s="92"/>
      <c r="BG23" s="92"/>
      <c r="BH23" s="91"/>
      <c r="BI23" s="92"/>
      <c r="BJ23" s="92"/>
      <c r="BK23" s="92"/>
      <c r="BL23" s="119"/>
      <c r="BM23" s="122"/>
      <c r="BN23" s="122"/>
      <c r="BO23" s="122"/>
      <c r="BP23" s="119"/>
      <c r="BQ23" s="120"/>
      <c r="BR23" s="120"/>
      <c r="BS23" s="120"/>
      <c r="BT23" s="121"/>
      <c r="BU23" s="120"/>
      <c r="BV23" s="120"/>
      <c r="BW23" s="120"/>
      <c r="BX23" s="121"/>
      <c r="BY23" s="120"/>
      <c r="BZ23" s="120"/>
      <c r="CA23" s="120"/>
      <c r="CB23" s="121"/>
      <c r="CC23" s="120"/>
      <c r="CD23" s="120"/>
      <c r="CE23" s="120"/>
      <c r="CF23" s="121"/>
      <c r="CG23" s="120"/>
      <c r="CH23" s="120"/>
      <c r="CI23" s="120"/>
      <c r="CJ23" s="121"/>
      <c r="CK23" s="120"/>
      <c r="CL23" s="120"/>
      <c r="CM23" s="120"/>
      <c r="CN23" s="121"/>
      <c r="CO23" s="120"/>
      <c r="CP23" s="120"/>
      <c r="CQ23" s="120"/>
      <c r="CR23" s="121"/>
      <c r="CS23" s="120"/>
      <c r="CT23" s="120"/>
      <c r="CU23" s="120"/>
      <c r="CV23" s="121"/>
      <c r="CW23" s="122"/>
      <c r="CX23" s="122"/>
      <c r="CY23" s="122"/>
      <c r="CZ23" s="119"/>
      <c r="DA23" s="122"/>
      <c r="DB23" s="122"/>
      <c r="DC23" s="122"/>
      <c r="DD23" s="91"/>
      <c r="DE23" s="92"/>
      <c r="DF23" s="92"/>
      <c r="DG23" s="92"/>
      <c r="DH23" s="91"/>
      <c r="DI23" s="92"/>
      <c r="DJ23" s="92"/>
      <c r="DK23" s="92"/>
      <c r="DL23" s="91"/>
      <c r="DP23" s="88"/>
      <c r="EN23" s="71" t="s">
        <v>96</v>
      </c>
      <c r="FK23" s="93"/>
      <c r="FL23" s="92"/>
      <c r="FM23" s="92"/>
      <c r="FN23" s="92"/>
      <c r="FO23" s="92"/>
      <c r="FP23" s="91"/>
      <c r="FQ23" s="92"/>
      <c r="FR23" s="92"/>
      <c r="FS23" s="92"/>
      <c r="FT23" s="91"/>
      <c r="FU23" s="92"/>
      <c r="FV23" s="92"/>
      <c r="FW23" s="92"/>
      <c r="FX23" s="91"/>
      <c r="FY23" s="92"/>
      <c r="FZ23" s="92"/>
      <c r="GA23" s="92"/>
      <c r="GB23" s="91"/>
      <c r="GC23" s="94"/>
    </row>
    <row r="24" spans="1:185" s="71" customFormat="1" ht="9.75" customHeight="1" thickBot="1" x14ac:dyDescent="0.25">
      <c r="A24" s="6">
        <v>213.3</v>
      </c>
      <c r="B24" s="107"/>
      <c r="C24" s="99"/>
      <c r="D24" s="101"/>
      <c r="E24" s="99"/>
      <c r="F24" s="99"/>
      <c r="G24" s="98"/>
      <c r="H24" s="99"/>
      <c r="I24" s="99"/>
      <c r="J24" s="99"/>
      <c r="K24" s="98"/>
      <c r="L24" s="99"/>
      <c r="M24" s="99"/>
      <c r="N24" s="99"/>
      <c r="O24" s="98"/>
      <c r="P24" s="99"/>
      <c r="Q24" s="99"/>
      <c r="R24" s="110"/>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12"/>
      <c r="AX24" s="99"/>
      <c r="AY24" s="99"/>
      <c r="AZ24" s="101"/>
      <c r="BA24" s="99"/>
      <c r="BB24" s="99"/>
      <c r="BC24" s="98"/>
      <c r="BD24" s="99"/>
      <c r="BE24" s="99"/>
      <c r="BF24" s="99"/>
      <c r="BG24" s="98"/>
      <c r="BH24" s="99"/>
      <c r="BI24" s="99"/>
      <c r="BJ24" s="99"/>
      <c r="BK24" s="98"/>
      <c r="BL24" s="99"/>
      <c r="BM24" s="99"/>
      <c r="BN24" s="99"/>
      <c r="BO24" s="98"/>
      <c r="BP24" s="99"/>
      <c r="BQ24" s="110"/>
      <c r="BR24" s="105"/>
      <c r="BS24" s="105"/>
      <c r="BT24" s="105"/>
      <c r="BU24" s="105"/>
      <c r="BV24" s="105"/>
      <c r="BW24" s="105"/>
      <c r="BX24" s="105"/>
      <c r="BY24" s="105"/>
      <c r="BZ24" s="105"/>
      <c r="CA24" s="105"/>
      <c r="CB24" s="105"/>
      <c r="CC24" s="105"/>
      <c r="CD24" s="105"/>
      <c r="CE24" s="105"/>
      <c r="CF24" s="105"/>
      <c r="CG24" s="105"/>
      <c r="CH24" s="105"/>
      <c r="CI24" s="105"/>
      <c r="CJ24" s="105"/>
      <c r="CK24" s="105"/>
      <c r="CL24" s="105"/>
      <c r="CM24" s="105"/>
      <c r="CN24" s="105"/>
      <c r="CO24" s="105"/>
      <c r="CP24" s="105"/>
      <c r="CQ24" s="105"/>
      <c r="CR24" s="105"/>
      <c r="CS24" s="105"/>
      <c r="CT24" s="105"/>
      <c r="CU24" s="105"/>
      <c r="CV24" s="112"/>
      <c r="CW24" s="102"/>
      <c r="CX24" s="102"/>
      <c r="CY24" s="106"/>
      <c r="CZ24" s="99"/>
      <c r="DA24" s="99"/>
      <c r="DB24" s="99"/>
      <c r="DC24" s="98"/>
      <c r="DD24" s="99"/>
      <c r="DE24" s="99"/>
      <c r="DF24" s="99"/>
      <c r="DG24" s="98"/>
      <c r="DH24" s="99"/>
      <c r="DI24" s="99"/>
      <c r="DJ24" s="99"/>
      <c r="DK24" s="98"/>
      <c r="DL24" s="99"/>
      <c r="DM24" s="98"/>
      <c r="DN24" s="99"/>
      <c r="DO24" s="99"/>
      <c r="DP24" s="88"/>
      <c r="EN24" s="71" t="s">
        <v>92</v>
      </c>
      <c r="FK24" s="93"/>
      <c r="FL24" s="99"/>
      <c r="FM24" s="99"/>
      <c r="FN24" s="99"/>
      <c r="FO24" s="98"/>
      <c r="FP24" s="99"/>
      <c r="FQ24" s="99"/>
      <c r="FR24" s="99"/>
      <c r="FS24" s="98"/>
      <c r="FT24" s="99"/>
      <c r="FU24" s="99"/>
      <c r="FV24" s="99"/>
      <c r="FW24" s="98"/>
      <c r="FX24" s="99"/>
      <c r="FY24" s="99"/>
      <c r="FZ24" s="99"/>
      <c r="GA24" s="98"/>
      <c r="GB24" s="102"/>
      <c r="GC24" s="115"/>
    </row>
    <row r="25" spans="1:185" s="71" customFormat="1" ht="9.75" customHeight="1" thickBot="1" x14ac:dyDescent="0.25">
      <c r="A25" s="6">
        <v>206.7</v>
      </c>
      <c r="B25" s="103"/>
      <c r="C25" s="95"/>
      <c r="F25" s="91"/>
      <c r="G25" s="92"/>
      <c r="H25" s="92"/>
      <c r="I25" s="92"/>
      <c r="J25" s="91"/>
      <c r="K25" s="92"/>
      <c r="L25" s="92"/>
      <c r="M25" s="92"/>
      <c r="N25" s="91"/>
      <c r="O25" s="92"/>
      <c r="P25" s="92"/>
      <c r="Q25" s="92"/>
      <c r="R25" s="88"/>
      <c r="AH25" s="114" t="s">
        <v>81</v>
      </c>
      <c r="AW25" s="93"/>
      <c r="BA25" s="92"/>
      <c r="BB25" s="91"/>
      <c r="BC25" s="92"/>
      <c r="BD25" s="92"/>
      <c r="BE25" s="92"/>
      <c r="BF25" s="91"/>
      <c r="BG25" s="92"/>
      <c r="BH25" s="92"/>
      <c r="BI25" s="92"/>
      <c r="BJ25" s="91"/>
      <c r="BK25" s="92"/>
      <c r="BL25" s="92"/>
      <c r="BM25" s="92"/>
      <c r="BN25" s="91"/>
      <c r="BO25" s="92"/>
      <c r="BP25" s="92"/>
      <c r="BQ25" s="88"/>
      <c r="CF25" s="114" t="s">
        <v>86</v>
      </c>
      <c r="CV25" s="93"/>
      <c r="CW25" s="99"/>
      <c r="CX25" s="99"/>
      <c r="CY25" s="101"/>
      <c r="CZ25" s="92"/>
      <c r="DA25" s="92"/>
      <c r="DB25" s="91"/>
      <c r="DC25" s="92"/>
      <c r="DD25" s="92"/>
      <c r="DE25" s="92"/>
      <c r="DF25" s="91"/>
      <c r="DG25" s="92"/>
      <c r="DH25" s="92"/>
      <c r="DI25" s="92"/>
      <c r="DJ25" s="91"/>
      <c r="DK25" s="92"/>
      <c r="DL25" s="92"/>
      <c r="DN25" s="89"/>
      <c r="DP25" s="88"/>
      <c r="EN25" s="71" t="s">
        <v>93</v>
      </c>
      <c r="FK25" s="93"/>
      <c r="FL25" s="92"/>
      <c r="FM25" s="92"/>
      <c r="FN25" s="91"/>
      <c r="FO25" s="92"/>
      <c r="FP25" s="92"/>
      <c r="FQ25" s="92"/>
      <c r="FR25" s="91"/>
      <c r="FS25" s="92"/>
      <c r="FT25" s="92"/>
      <c r="FU25" s="92"/>
      <c r="FV25" s="91"/>
      <c r="FW25" s="92"/>
      <c r="FX25" s="92"/>
      <c r="FY25" s="92"/>
      <c r="FZ25" s="91"/>
      <c r="GA25" s="92"/>
      <c r="GB25" s="98"/>
      <c r="GC25" s="100"/>
    </row>
    <row r="26" spans="1:185" s="71" customFormat="1" ht="9.75" customHeight="1" thickBot="1" x14ac:dyDescent="0.25">
      <c r="A26" s="6">
        <v>200</v>
      </c>
      <c r="B26" s="103"/>
      <c r="C26" s="92"/>
      <c r="D26" s="101"/>
      <c r="E26" s="99"/>
      <c r="F26" s="92"/>
      <c r="G26" s="91"/>
      <c r="H26" s="92"/>
      <c r="I26" s="92"/>
      <c r="J26" s="92"/>
      <c r="K26" s="91"/>
      <c r="L26" s="92"/>
      <c r="M26" s="92"/>
      <c r="N26" s="92"/>
      <c r="O26" s="91"/>
      <c r="P26" s="92"/>
      <c r="Q26" s="92"/>
      <c r="R26" s="88"/>
      <c r="AH26" s="71" t="s">
        <v>88</v>
      </c>
      <c r="AW26" s="93"/>
      <c r="AX26" s="99"/>
      <c r="AY26" s="99"/>
      <c r="AZ26" s="101"/>
      <c r="BA26" s="92"/>
      <c r="BB26" s="92"/>
      <c r="BC26" s="91"/>
      <c r="BD26" s="92"/>
      <c r="BE26" s="92"/>
      <c r="BF26" s="92"/>
      <c r="BG26" s="91"/>
      <c r="BH26" s="92"/>
      <c r="BI26" s="92"/>
      <c r="BJ26" s="92"/>
      <c r="BK26" s="91"/>
      <c r="BL26" s="92"/>
      <c r="BM26" s="92"/>
      <c r="BO26" s="89"/>
      <c r="BQ26" s="88"/>
      <c r="CF26" s="71" t="s">
        <v>88</v>
      </c>
      <c r="CV26" s="93"/>
      <c r="CW26" s="92"/>
      <c r="CX26" s="92"/>
      <c r="CY26" s="91"/>
      <c r="CZ26" s="92"/>
      <c r="DA26" s="92"/>
      <c r="DB26" s="92"/>
      <c r="DC26" s="91"/>
      <c r="DD26" s="92"/>
      <c r="DE26" s="92"/>
      <c r="DF26" s="92"/>
      <c r="DG26" s="91"/>
      <c r="DH26" s="92"/>
      <c r="DI26" s="92"/>
      <c r="DJ26" s="92"/>
      <c r="DK26" s="91"/>
      <c r="DL26" s="92"/>
      <c r="DM26" s="98"/>
      <c r="DN26" s="99"/>
      <c r="DO26" s="99"/>
      <c r="DP26" s="88"/>
      <c r="FK26" s="93"/>
      <c r="FL26" s="92"/>
      <c r="FM26" s="92"/>
      <c r="FN26" s="92"/>
      <c r="FO26" s="91"/>
      <c r="FP26" s="92"/>
      <c r="FQ26" s="92"/>
      <c r="FR26" s="92"/>
      <c r="FS26" s="91"/>
      <c r="FT26" s="92"/>
      <c r="FU26" s="92"/>
      <c r="FV26" s="92"/>
      <c r="FW26" s="91"/>
      <c r="FX26" s="92"/>
      <c r="FY26" s="92"/>
      <c r="FZ26" s="92"/>
      <c r="GA26" s="91"/>
      <c r="GB26" s="92"/>
      <c r="GC26" s="94"/>
    </row>
    <row r="27" spans="1:185" s="71" customFormat="1" ht="9.75" customHeight="1" thickBot="1" x14ac:dyDescent="0.25">
      <c r="A27" s="6">
        <v>193.3</v>
      </c>
      <c r="B27" s="103"/>
      <c r="C27" s="95"/>
      <c r="D27" s="92"/>
      <c r="E27" s="92"/>
      <c r="F27" s="92"/>
      <c r="G27" s="92"/>
      <c r="H27" s="91"/>
      <c r="I27" s="92"/>
      <c r="J27" s="92"/>
      <c r="K27" s="92"/>
      <c r="L27" s="91"/>
      <c r="M27" s="92"/>
      <c r="N27" s="92"/>
      <c r="O27" s="92"/>
      <c r="P27" s="91"/>
      <c r="Q27" s="92"/>
      <c r="R27" s="88"/>
      <c r="AH27" s="71" t="s">
        <v>89</v>
      </c>
      <c r="AW27" s="93"/>
      <c r="AZ27" s="89"/>
      <c r="BA27" s="92"/>
      <c r="BB27" s="92"/>
      <c r="BC27" s="92"/>
      <c r="BD27" s="91"/>
      <c r="BE27" s="92"/>
      <c r="BF27" s="92"/>
      <c r="BG27" s="92"/>
      <c r="BH27" s="91"/>
      <c r="BI27" s="92"/>
      <c r="BJ27" s="92"/>
      <c r="BK27" s="92"/>
      <c r="BL27" s="91"/>
      <c r="BM27" s="92"/>
      <c r="BN27" s="98"/>
      <c r="BO27" s="99"/>
      <c r="BP27" s="99"/>
      <c r="BQ27" s="88"/>
      <c r="CF27" s="71" t="s">
        <v>89</v>
      </c>
      <c r="CV27" s="93"/>
      <c r="CW27" s="92"/>
      <c r="CX27" s="92"/>
      <c r="CY27" s="92"/>
      <c r="CZ27" s="91"/>
      <c r="DA27" s="92"/>
      <c r="DB27" s="92"/>
      <c r="DC27" s="92"/>
      <c r="DD27" s="91"/>
      <c r="DE27" s="92"/>
      <c r="DF27" s="92"/>
      <c r="DG27" s="92"/>
      <c r="DH27" s="91"/>
      <c r="DI27" s="92"/>
      <c r="DJ27" s="92"/>
      <c r="DK27" s="92"/>
      <c r="DL27" s="91"/>
      <c r="DP27" s="88"/>
      <c r="FK27" s="93"/>
      <c r="FL27" s="92"/>
      <c r="FM27" s="92"/>
      <c r="FN27" s="92"/>
      <c r="FO27" s="92"/>
      <c r="FP27" s="91"/>
      <c r="FQ27" s="92"/>
      <c r="FR27" s="92"/>
      <c r="FS27" s="92"/>
      <c r="FT27" s="91"/>
      <c r="FU27" s="92"/>
      <c r="FV27" s="92"/>
      <c r="FW27" s="92"/>
      <c r="FX27" s="91"/>
      <c r="FY27" s="92"/>
      <c r="FZ27" s="92"/>
      <c r="GA27" s="92"/>
      <c r="GB27" s="91"/>
      <c r="GC27" s="94"/>
    </row>
    <row r="28" spans="1:185" s="71" customFormat="1" ht="9.75" customHeight="1" thickBot="1" x14ac:dyDescent="0.25">
      <c r="A28" s="6">
        <v>186.7</v>
      </c>
      <c r="B28" s="107"/>
      <c r="C28" s="99"/>
      <c r="D28" s="101"/>
      <c r="E28" s="99"/>
      <c r="F28" s="99"/>
      <c r="G28" s="98"/>
      <c r="H28" s="99"/>
      <c r="I28" s="99"/>
      <c r="J28" s="99"/>
      <c r="K28" s="98"/>
      <c r="L28" s="99"/>
      <c r="M28" s="99"/>
      <c r="N28" s="99"/>
      <c r="O28" s="98"/>
      <c r="P28" s="99"/>
      <c r="Q28" s="99"/>
      <c r="R28" s="88"/>
      <c r="AH28" s="71" t="s">
        <v>82</v>
      </c>
      <c r="AW28" s="93"/>
      <c r="AX28" s="99"/>
      <c r="AY28" s="99"/>
      <c r="AZ28" s="101"/>
      <c r="BA28" s="99"/>
      <c r="BB28" s="99"/>
      <c r="BC28" s="98"/>
      <c r="BD28" s="99"/>
      <c r="BE28" s="99"/>
      <c r="BF28" s="99"/>
      <c r="BG28" s="98"/>
      <c r="BH28" s="99"/>
      <c r="BI28" s="99"/>
      <c r="BJ28" s="99"/>
      <c r="BK28" s="98"/>
      <c r="BL28" s="99"/>
      <c r="BM28" s="99"/>
      <c r="BN28" s="92"/>
      <c r="BO28" s="91"/>
      <c r="BP28" s="92"/>
      <c r="BQ28" s="88"/>
      <c r="CF28" s="71" t="s">
        <v>82</v>
      </c>
      <c r="CV28" s="93"/>
      <c r="CW28" s="102"/>
      <c r="CX28" s="102"/>
      <c r="CY28" s="106"/>
      <c r="CZ28" s="99"/>
      <c r="DA28" s="99"/>
      <c r="DB28" s="99"/>
      <c r="DC28" s="98"/>
      <c r="DD28" s="99"/>
      <c r="DE28" s="99"/>
      <c r="DF28" s="99"/>
      <c r="DG28" s="98"/>
      <c r="DH28" s="99"/>
      <c r="DI28" s="99"/>
      <c r="DJ28" s="99"/>
      <c r="DK28" s="98"/>
      <c r="DL28" s="99"/>
      <c r="DM28" s="98"/>
      <c r="DN28" s="99"/>
      <c r="DO28" s="99"/>
      <c r="DP28" s="88"/>
      <c r="FK28" s="93"/>
      <c r="FL28" s="99"/>
      <c r="FM28" s="99"/>
      <c r="FN28" s="99"/>
      <c r="FO28" s="98"/>
      <c r="FP28" s="99"/>
      <c r="FQ28" s="99"/>
      <c r="FR28" s="99"/>
      <c r="FS28" s="98"/>
      <c r="FT28" s="99"/>
      <c r="FU28" s="99"/>
      <c r="FV28" s="99"/>
      <c r="FW28" s="98"/>
      <c r="FX28" s="99"/>
      <c r="FY28" s="99"/>
      <c r="FZ28" s="99"/>
      <c r="GA28" s="98"/>
      <c r="GB28" s="102"/>
      <c r="GC28" s="115"/>
    </row>
    <row r="29" spans="1:185" s="71" customFormat="1" ht="9.75" customHeight="1" thickBot="1" x14ac:dyDescent="0.25">
      <c r="A29" s="6">
        <v>180</v>
      </c>
      <c r="B29" s="103"/>
      <c r="C29" s="95"/>
      <c r="F29" s="91"/>
      <c r="G29" s="92"/>
      <c r="H29" s="92"/>
      <c r="I29" s="92"/>
      <c r="J29" s="91"/>
      <c r="K29" s="92"/>
      <c r="L29" s="92"/>
      <c r="M29" s="92"/>
      <c r="N29" s="91"/>
      <c r="O29" s="92"/>
      <c r="P29" s="92"/>
      <c r="Q29" s="92"/>
      <c r="R29" s="88"/>
      <c r="AW29" s="93"/>
      <c r="BA29" s="92"/>
      <c r="BB29" s="91"/>
      <c r="BC29" s="92"/>
      <c r="BD29" s="92"/>
      <c r="BE29" s="92"/>
      <c r="BF29" s="91"/>
      <c r="BG29" s="92"/>
      <c r="BH29" s="92"/>
      <c r="BI29" s="92"/>
      <c r="BJ29" s="91"/>
      <c r="BK29" s="92"/>
      <c r="BL29" s="92"/>
      <c r="BM29" s="92"/>
      <c r="BN29" s="91"/>
      <c r="BO29" s="92"/>
      <c r="BP29" s="92"/>
      <c r="BQ29" s="88"/>
      <c r="CV29" s="93"/>
      <c r="CW29" s="99"/>
      <c r="CX29" s="99"/>
      <c r="CY29" s="101"/>
      <c r="CZ29" s="92"/>
      <c r="DA29" s="92"/>
      <c r="DB29" s="91"/>
      <c r="DC29" s="92"/>
      <c r="DD29" s="92"/>
      <c r="DE29" s="92"/>
      <c r="DF29" s="91"/>
      <c r="DG29" s="92"/>
      <c r="DH29" s="92"/>
      <c r="DI29" s="92"/>
      <c r="DJ29" s="91"/>
      <c r="DK29" s="92"/>
      <c r="DL29" s="92"/>
      <c r="DN29" s="89"/>
      <c r="DP29" s="88"/>
      <c r="FK29" s="93"/>
      <c r="FL29" s="92"/>
      <c r="FM29" s="92"/>
      <c r="FN29" s="91"/>
      <c r="FO29" s="92"/>
      <c r="FP29" s="92"/>
      <c r="FQ29" s="92"/>
      <c r="FR29" s="91"/>
      <c r="FS29" s="92"/>
      <c r="FT29" s="92"/>
      <c r="FU29" s="92"/>
      <c r="FV29" s="91"/>
      <c r="FW29" s="92"/>
      <c r="FX29" s="92"/>
      <c r="FY29" s="92"/>
      <c r="FZ29" s="91"/>
      <c r="GA29" s="92"/>
      <c r="GB29" s="98"/>
      <c r="GC29" s="100"/>
    </row>
    <row r="30" spans="1:185" s="71" customFormat="1" ht="9.75" customHeight="1" thickBot="1" x14ac:dyDescent="0.25">
      <c r="A30" s="6">
        <v>173.3</v>
      </c>
      <c r="B30" s="103"/>
      <c r="C30" s="92"/>
      <c r="D30" s="101"/>
      <c r="E30" s="99"/>
      <c r="F30" s="92"/>
      <c r="G30" s="91"/>
      <c r="H30" s="92"/>
      <c r="I30" s="92"/>
      <c r="J30" s="92"/>
      <c r="K30" s="91"/>
      <c r="L30" s="92"/>
      <c r="M30" s="92"/>
      <c r="N30" s="92"/>
      <c r="O30" s="91"/>
      <c r="P30" s="92"/>
      <c r="Q30" s="92"/>
      <c r="R30" s="88"/>
      <c r="AW30" s="93"/>
      <c r="AX30" s="99"/>
      <c r="AY30" s="99"/>
      <c r="AZ30" s="101"/>
      <c r="BA30" s="92"/>
      <c r="BB30" s="92"/>
      <c r="BC30" s="91"/>
      <c r="BD30" s="92"/>
      <c r="BE30" s="92"/>
      <c r="BF30" s="92"/>
      <c r="BG30" s="91"/>
      <c r="BH30" s="92"/>
      <c r="BI30" s="92"/>
      <c r="BJ30" s="92"/>
      <c r="BK30" s="91"/>
      <c r="BL30" s="92"/>
      <c r="BM30" s="92"/>
      <c r="BO30" s="89"/>
      <c r="BQ30" s="88"/>
      <c r="CV30" s="93"/>
      <c r="CW30" s="92"/>
      <c r="CX30" s="92"/>
      <c r="CY30" s="91"/>
      <c r="CZ30" s="92"/>
      <c r="DA30" s="92"/>
      <c r="DB30" s="92"/>
      <c r="DC30" s="91"/>
      <c r="DD30" s="92"/>
      <c r="DE30" s="92"/>
      <c r="DF30" s="92"/>
      <c r="DG30" s="91"/>
      <c r="DH30" s="92"/>
      <c r="DI30" s="92"/>
      <c r="DJ30" s="92"/>
      <c r="DK30" s="91"/>
      <c r="DL30" s="92"/>
      <c r="DM30" s="98"/>
      <c r="DN30" s="99"/>
      <c r="DO30" s="99"/>
      <c r="DP30" s="88"/>
      <c r="FK30" s="93"/>
      <c r="FL30" s="92"/>
      <c r="FM30" s="92"/>
      <c r="FN30" s="92"/>
      <c r="FO30" s="91"/>
      <c r="FP30" s="92"/>
      <c r="FQ30" s="92"/>
      <c r="FR30" s="92"/>
      <c r="FS30" s="91"/>
      <c r="FT30" s="92"/>
      <c r="FU30" s="92"/>
      <c r="FV30" s="92"/>
      <c r="FW30" s="91"/>
      <c r="FX30" s="92"/>
      <c r="FY30" s="92"/>
      <c r="FZ30" s="92"/>
      <c r="GA30" s="91"/>
      <c r="GB30" s="92"/>
      <c r="GC30" s="94"/>
    </row>
    <row r="31" spans="1:185" s="71" customFormat="1" ht="9.75" customHeight="1" thickBot="1" x14ac:dyDescent="0.25">
      <c r="A31" s="6">
        <v>166.7</v>
      </c>
      <c r="B31" s="103"/>
      <c r="C31" s="95"/>
      <c r="D31" s="92"/>
      <c r="E31" s="92"/>
      <c r="F31" s="92"/>
      <c r="G31" s="92"/>
      <c r="H31" s="91"/>
      <c r="I31" s="92"/>
      <c r="J31" s="92"/>
      <c r="K31" s="92"/>
      <c r="L31" s="91"/>
      <c r="M31" s="92"/>
      <c r="N31" s="92"/>
      <c r="O31" s="92"/>
      <c r="P31" s="91"/>
      <c r="Q31" s="92"/>
      <c r="R31" s="88"/>
      <c r="AW31" s="93"/>
      <c r="AZ31" s="89"/>
      <c r="BA31" s="92"/>
      <c r="BB31" s="92"/>
      <c r="BC31" s="92"/>
      <c r="BD31" s="91"/>
      <c r="BE31" s="92"/>
      <c r="BF31" s="92"/>
      <c r="BG31" s="92"/>
      <c r="BH31" s="91"/>
      <c r="BI31" s="92"/>
      <c r="BJ31" s="92"/>
      <c r="BK31" s="92"/>
      <c r="BL31" s="91"/>
      <c r="BM31" s="92"/>
      <c r="BN31" s="98"/>
      <c r="BO31" s="99"/>
      <c r="BP31" s="99"/>
      <c r="BQ31" s="88"/>
      <c r="CV31" s="93"/>
      <c r="CW31" s="92"/>
      <c r="CX31" s="92"/>
      <c r="CY31" s="92"/>
      <c r="CZ31" s="91"/>
      <c r="DA31" s="92"/>
      <c r="DB31" s="92"/>
      <c r="DC31" s="92"/>
      <c r="DD31" s="91"/>
      <c r="DE31" s="92"/>
      <c r="DF31" s="92"/>
      <c r="DG31" s="92"/>
      <c r="DH31" s="91"/>
      <c r="DI31" s="92"/>
      <c r="DJ31" s="92"/>
      <c r="DK31" s="92"/>
      <c r="DL31" s="91"/>
      <c r="DP31" s="88"/>
      <c r="FK31" s="93"/>
      <c r="FL31" s="92"/>
      <c r="FM31" s="92"/>
      <c r="FN31" s="92"/>
      <c r="FO31" s="92"/>
      <c r="FP31" s="91"/>
      <c r="FQ31" s="92"/>
      <c r="FR31" s="92"/>
      <c r="FS31" s="92"/>
      <c r="FT31" s="91"/>
      <c r="FU31" s="92"/>
      <c r="FV31" s="92"/>
      <c r="FW31" s="92"/>
      <c r="FX31" s="91"/>
      <c r="FY31" s="92"/>
      <c r="FZ31" s="92"/>
      <c r="GA31" s="92"/>
      <c r="GB31" s="91"/>
      <c r="GC31" s="94"/>
    </row>
    <row r="32" spans="1:185" s="71" customFormat="1" ht="9.75" customHeight="1" thickBot="1" x14ac:dyDescent="0.25">
      <c r="A32" s="6">
        <v>160</v>
      </c>
      <c r="B32" s="107"/>
      <c r="C32" s="99"/>
      <c r="D32" s="101"/>
      <c r="E32" s="99"/>
      <c r="F32" s="99"/>
      <c r="G32" s="98"/>
      <c r="H32" s="99"/>
      <c r="I32" s="99"/>
      <c r="J32" s="99"/>
      <c r="K32" s="98"/>
      <c r="L32" s="99"/>
      <c r="M32" s="99"/>
      <c r="N32" s="99"/>
      <c r="O32" s="98"/>
      <c r="P32" s="99"/>
      <c r="Q32" s="99"/>
      <c r="R32" s="88"/>
      <c r="AW32" s="93"/>
      <c r="AX32" s="99"/>
      <c r="AY32" s="99"/>
      <c r="AZ32" s="101"/>
      <c r="BA32" s="99"/>
      <c r="BB32" s="99"/>
      <c r="BC32" s="98"/>
      <c r="BD32" s="99"/>
      <c r="BE32" s="99"/>
      <c r="BF32" s="99"/>
      <c r="BG32" s="98"/>
      <c r="BH32" s="99"/>
      <c r="BI32" s="99"/>
      <c r="BJ32" s="99"/>
      <c r="BK32" s="98"/>
      <c r="BL32" s="99"/>
      <c r="BM32" s="99"/>
      <c r="BN32" s="92"/>
      <c r="BO32" s="91"/>
      <c r="BP32" s="92"/>
      <c r="BQ32" s="88"/>
      <c r="CV32" s="93"/>
      <c r="CW32" s="102"/>
      <c r="CX32" s="102"/>
      <c r="CY32" s="106"/>
      <c r="CZ32" s="99"/>
      <c r="DA32" s="99"/>
      <c r="DB32" s="99"/>
      <c r="DC32" s="98"/>
      <c r="DD32" s="99"/>
      <c r="DE32" s="99"/>
      <c r="DF32" s="99"/>
      <c r="DG32" s="98"/>
      <c r="DH32" s="99"/>
      <c r="DI32" s="99"/>
      <c r="DJ32" s="99"/>
      <c r="DK32" s="98"/>
      <c r="DL32" s="99"/>
      <c r="DM32" s="98"/>
      <c r="DN32" s="99"/>
      <c r="DO32" s="99"/>
      <c r="DP32" s="88"/>
      <c r="FK32" s="93"/>
      <c r="FL32" s="99"/>
      <c r="FM32" s="99"/>
      <c r="FN32" s="99"/>
      <c r="FO32" s="98"/>
      <c r="FP32" s="99"/>
      <c r="FQ32" s="99"/>
      <c r="FR32" s="99"/>
      <c r="FS32" s="98"/>
      <c r="FT32" s="99"/>
      <c r="FU32" s="99"/>
      <c r="FV32" s="99"/>
      <c r="FW32" s="98"/>
      <c r="FX32" s="99"/>
      <c r="FY32" s="99"/>
      <c r="FZ32" s="99"/>
      <c r="GA32" s="98"/>
      <c r="GB32" s="102"/>
      <c r="GC32" s="115"/>
    </row>
    <row r="33" spans="1:185" s="71" customFormat="1" ht="9.75" customHeight="1" thickBot="1" x14ac:dyDescent="0.25">
      <c r="A33" s="6">
        <v>153.30000000000001</v>
      </c>
      <c r="B33" s="103"/>
      <c r="C33" s="95"/>
      <c r="F33" s="91"/>
      <c r="G33" s="92"/>
      <c r="H33" s="92"/>
      <c r="I33" s="92"/>
      <c r="J33" s="91"/>
      <c r="K33" s="92"/>
      <c r="L33" s="92"/>
      <c r="M33" s="92"/>
      <c r="N33" s="91"/>
      <c r="O33" s="92"/>
      <c r="P33" s="92"/>
      <c r="Q33" s="92"/>
      <c r="R33" s="88"/>
      <c r="AW33" s="93"/>
      <c r="BA33" s="92"/>
      <c r="BB33" s="91"/>
      <c r="BC33" s="92"/>
      <c r="BD33" s="92"/>
      <c r="BE33" s="92"/>
      <c r="BF33" s="91"/>
      <c r="BG33" s="92"/>
      <c r="BH33" s="92"/>
      <c r="BI33" s="92"/>
      <c r="BJ33" s="91"/>
      <c r="BK33" s="92"/>
      <c r="BL33" s="92"/>
      <c r="BM33" s="92"/>
      <c r="BN33" s="91"/>
      <c r="BO33" s="92"/>
      <c r="BP33" s="92"/>
      <c r="BQ33" s="88"/>
      <c r="CV33" s="93"/>
      <c r="CW33" s="99"/>
      <c r="CX33" s="99"/>
      <c r="CY33" s="101"/>
      <c r="CZ33" s="92"/>
      <c r="DA33" s="92"/>
      <c r="DB33" s="91"/>
      <c r="DC33" s="92"/>
      <c r="DD33" s="92"/>
      <c r="DE33" s="92"/>
      <c r="DF33" s="91"/>
      <c r="DG33" s="92"/>
      <c r="DH33" s="92"/>
      <c r="DI33" s="92"/>
      <c r="DJ33" s="91"/>
      <c r="DK33" s="92"/>
      <c r="DL33" s="92"/>
      <c r="DN33" s="89"/>
      <c r="DP33" s="88"/>
      <c r="FK33" s="93"/>
      <c r="FL33" s="92"/>
      <c r="FM33" s="92"/>
      <c r="FN33" s="91"/>
      <c r="FO33" s="92"/>
      <c r="FP33" s="92"/>
      <c r="FQ33" s="92"/>
      <c r="FR33" s="91"/>
      <c r="FS33" s="92"/>
      <c r="FT33" s="92"/>
      <c r="FU33" s="92"/>
      <c r="FV33" s="91"/>
      <c r="FW33" s="92"/>
      <c r="FX33" s="92"/>
      <c r="FY33" s="92"/>
      <c r="FZ33" s="91"/>
      <c r="GA33" s="92"/>
      <c r="GB33" s="98"/>
      <c r="GC33" s="100"/>
    </row>
    <row r="34" spans="1:185" s="71" customFormat="1" ht="9.75" customHeight="1" thickBot="1" x14ac:dyDescent="0.25">
      <c r="A34" s="6">
        <v>146.69999999999999</v>
      </c>
      <c r="B34" s="103"/>
      <c r="C34" s="92"/>
      <c r="D34" s="101"/>
      <c r="E34" s="99"/>
      <c r="F34" s="92"/>
      <c r="G34" s="91"/>
      <c r="H34" s="92"/>
      <c r="I34" s="92"/>
      <c r="J34" s="92"/>
      <c r="K34" s="91"/>
      <c r="L34" s="92"/>
      <c r="M34" s="92"/>
      <c r="N34" s="92"/>
      <c r="O34" s="91"/>
      <c r="P34" s="92"/>
      <c r="Q34" s="92"/>
      <c r="R34" s="88"/>
      <c r="AW34" s="93"/>
      <c r="AX34" s="99"/>
      <c r="AY34" s="99"/>
      <c r="AZ34" s="101"/>
      <c r="BA34" s="92"/>
      <c r="BB34" s="92"/>
      <c r="BC34" s="91"/>
      <c r="BD34" s="92"/>
      <c r="BE34" s="92"/>
      <c r="BF34" s="92"/>
      <c r="BG34" s="91"/>
      <c r="BH34" s="92"/>
      <c r="BI34" s="92"/>
      <c r="BJ34" s="92"/>
      <c r="BK34" s="91"/>
      <c r="BL34" s="92"/>
      <c r="BM34" s="92"/>
      <c r="BO34" s="89"/>
      <c r="BQ34" s="88"/>
      <c r="CV34" s="93"/>
      <c r="CW34" s="92"/>
      <c r="CX34" s="92"/>
      <c r="CY34" s="91"/>
      <c r="CZ34" s="92"/>
      <c r="DA34" s="92"/>
      <c r="DB34" s="92"/>
      <c r="DC34" s="91"/>
      <c r="DD34" s="92"/>
      <c r="DE34" s="92"/>
      <c r="DF34" s="92"/>
      <c r="DG34" s="91"/>
      <c r="DH34" s="92"/>
      <c r="DI34" s="92"/>
      <c r="DJ34" s="92"/>
      <c r="DK34" s="91"/>
      <c r="DL34" s="92"/>
      <c r="DM34" s="98"/>
      <c r="DN34" s="99"/>
      <c r="DO34" s="99"/>
      <c r="DP34" s="88"/>
      <c r="FK34" s="93"/>
      <c r="FL34" s="92"/>
      <c r="FM34" s="92"/>
      <c r="FN34" s="92"/>
      <c r="FO34" s="91"/>
      <c r="FP34" s="92"/>
      <c r="FQ34" s="92"/>
      <c r="FR34" s="92"/>
      <c r="FS34" s="91"/>
      <c r="FT34" s="92"/>
      <c r="FU34" s="92"/>
      <c r="FV34" s="92"/>
      <c r="FW34" s="91"/>
      <c r="FX34" s="92"/>
      <c r="FY34" s="92"/>
      <c r="FZ34" s="92"/>
      <c r="GA34" s="91"/>
      <c r="GB34" s="92"/>
      <c r="GC34" s="94"/>
    </row>
    <row r="35" spans="1:185" s="71" customFormat="1" ht="9.75" customHeight="1" thickBot="1" x14ac:dyDescent="0.25">
      <c r="A35" s="6">
        <v>140</v>
      </c>
      <c r="B35" s="103"/>
      <c r="C35" s="95"/>
      <c r="D35" s="92"/>
      <c r="E35" s="92"/>
      <c r="F35" s="92"/>
      <c r="G35" s="92"/>
      <c r="H35" s="91"/>
      <c r="I35" s="92"/>
      <c r="J35" s="92"/>
      <c r="K35" s="92"/>
      <c r="L35" s="91"/>
      <c r="M35" s="92"/>
      <c r="N35" s="92"/>
      <c r="O35" s="92"/>
      <c r="P35" s="91"/>
      <c r="Q35" s="92"/>
      <c r="R35" s="88"/>
      <c r="AW35" s="93"/>
      <c r="AZ35" s="89"/>
      <c r="BA35" s="92"/>
      <c r="BB35" s="92"/>
      <c r="BC35" s="92"/>
      <c r="BD35" s="91"/>
      <c r="BE35" s="92"/>
      <c r="BF35" s="92"/>
      <c r="BG35" s="92"/>
      <c r="BH35" s="91"/>
      <c r="BI35" s="92"/>
      <c r="BJ35" s="92"/>
      <c r="BK35" s="92"/>
      <c r="BL35" s="91"/>
      <c r="BM35" s="92"/>
      <c r="BN35" s="98"/>
      <c r="BO35" s="99"/>
      <c r="BP35" s="99"/>
      <c r="BQ35" s="88"/>
      <c r="CV35" s="93"/>
      <c r="CW35" s="92"/>
      <c r="CX35" s="92"/>
      <c r="CY35" s="92"/>
      <c r="CZ35" s="91"/>
      <c r="DA35" s="92"/>
      <c r="DB35" s="92"/>
      <c r="DC35" s="92"/>
      <c r="DD35" s="91"/>
      <c r="DE35" s="92"/>
      <c r="DF35" s="92"/>
      <c r="DG35" s="92"/>
      <c r="DH35" s="91"/>
      <c r="DI35" s="92"/>
      <c r="DJ35" s="92"/>
      <c r="DK35" s="92"/>
      <c r="DL35" s="91"/>
      <c r="DP35" s="88"/>
      <c r="FK35" s="93"/>
      <c r="FL35" s="92"/>
      <c r="FM35" s="92"/>
      <c r="FN35" s="92"/>
      <c r="FO35" s="92"/>
      <c r="FP35" s="91"/>
      <c r="FQ35" s="92"/>
      <c r="FR35" s="92"/>
      <c r="FS35" s="92"/>
      <c r="FT35" s="91"/>
      <c r="FU35" s="92"/>
      <c r="FV35" s="92"/>
      <c r="FW35" s="92"/>
      <c r="FX35" s="91"/>
      <c r="FY35" s="92"/>
      <c r="FZ35" s="92"/>
      <c r="GA35" s="92"/>
      <c r="GB35" s="91"/>
      <c r="GC35" s="94"/>
    </row>
    <row r="36" spans="1:185" s="71" customFormat="1" ht="9.75" customHeight="1" thickBot="1" x14ac:dyDescent="0.25">
      <c r="A36" s="6">
        <v>133.30000000000001</v>
      </c>
      <c r="B36" s="107"/>
      <c r="C36" s="99"/>
      <c r="D36" s="101"/>
      <c r="E36" s="99"/>
      <c r="F36" s="99"/>
      <c r="G36" s="98"/>
      <c r="H36" s="99"/>
      <c r="I36" s="99"/>
      <c r="J36" s="99"/>
      <c r="K36" s="98"/>
      <c r="L36" s="99"/>
      <c r="M36" s="99"/>
      <c r="N36" s="99"/>
      <c r="O36" s="98"/>
      <c r="P36" s="99"/>
      <c r="Q36" s="99"/>
      <c r="R36" s="88"/>
      <c r="AW36" s="93"/>
      <c r="AX36" s="99"/>
      <c r="AY36" s="99"/>
      <c r="AZ36" s="101"/>
      <c r="BA36" s="99"/>
      <c r="BB36" s="99"/>
      <c r="BC36" s="98"/>
      <c r="BD36" s="99"/>
      <c r="BE36" s="99"/>
      <c r="BF36" s="99"/>
      <c r="BG36" s="98"/>
      <c r="BH36" s="99"/>
      <c r="BI36" s="99"/>
      <c r="BJ36" s="99"/>
      <c r="BK36" s="98"/>
      <c r="BL36" s="99"/>
      <c r="BM36" s="99"/>
      <c r="BN36" s="92"/>
      <c r="BO36" s="91"/>
      <c r="BP36" s="92"/>
      <c r="BQ36" s="88"/>
      <c r="CV36" s="93"/>
      <c r="CW36" s="102"/>
      <c r="CX36" s="102"/>
      <c r="CY36" s="106"/>
      <c r="CZ36" s="99"/>
      <c r="DA36" s="99"/>
      <c r="DB36" s="99"/>
      <c r="DC36" s="98"/>
      <c r="DD36" s="99"/>
      <c r="DE36" s="99"/>
      <c r="DF36" s="99"/>
      <c r="DG36" s="98"/>
      <c r="DH36" s="99"/>
      <c r="DI36" s="99"/>
      <c r="DJ36" s="99"/>
      <c r="DK36" s="98"/>
      <c r="DL36" s="99"/>
      <c r="DM36" s="98"/>
      <c r="DN36" s="99"/>
      <c r="DO36" s="99"/>
      <c r="DP36" s="88"/>
      <c r="FK36" s="93"/>
      <c r="FL36" s="99"/>
      <c r="FM36" s="99"/>
      <c r="FN36" s="99"/>
      <c r="FO36" s="98"/>
      <c r="FP36" s="99"/>
      <c r="FQ36" s="99"/>
      <c r="FR36" s="99"/>
      <c r="FS36" s="98"/>
      <c r="FT36" s="99"/>
      <c r="FU36" s="99"/>
      <c r="FV36" s="99"/>
      <c r="FW36" s="98"/>
      <c r="FX36" s="99"/>
      <c r="FY36" s="99"/>
      <c r="FZ36" s="99"/>
      <c r="GA36" s="98"/>
      <c r="GB36" s="102"/>
      <c r="GC36" s="115"/>
    </row>
    <row r="37" spans="1:185" s="71" customFormat="1" ht="9.75" customHeight="1" thickBot="1" x14ac:dyDescent="0.25">
      <c r="A37" s="6">
        <v>126.7</v>
      </c>
      <c r="B37" s="103"/>
      <c r="C37" s="95"/>
      <c r="F37" s="91"/>
      <c r="G37" s="92"/>
      <c r="H37" s="92"/>
      <c r="I37" s="92"/>
      <c r="J37" s="91"/>
      <c r="K37" s="92"/>
      <c r="L37" s="92"/>
      <c r="M37" s="92"/>
      <c r="N37" s="91"/>
      <c r="O37" s="92"/>
      <c r="P37" s="92"/>
      <c r="Q37" s="92"/>
      <c r="R37" s="88"/>
      <c r="AW37" s="93"/>
      <c r="BA37" s="92"/>
      <c r="BB37" s="91"/>
      <c r="BC37" s="92"/>
      <c r="BD37" s="92"/>
      <c r="BE37" s="92"/>
      <c r="BF37" s="91"/>
      <c r="BG37" s="92"/>
      <c r="BH37" s="92"/>
      <c r="BI37" s="92"/>
      <c r="BJ37" s="91"/>
      <c r="BK37" s="92"/>
      <c r="BL37" s="92"/>
      <c r="BM37" s="92"/>
      <c r="BN37" s="91"/>
      <c r="BO37" s="92"/>
      <c r="BP37" s="92"/>
      <c r="BQ37" s="88"/>
      <c r="CV37" s="93"/>
      <c r="CW37" s="99"/>
      <c r="CX37" s="99"/>
      <c r="CY37" s="101"/>
      <c r="CZ37" s="92"/>
      <c r="DA37" s="92"/>
      <c r="DB37" s="91"/>
      <c r="DC37" s="92"/>
      <c r="DD37" s="92"/>
      <c r="DE37" s="92"/>
      <c r="DF37" s="91"/>
      <c r="DG37" s="92"/>
      <c r="DH37" s="92"/>
      <c r="DI37" s="92"/>
      <c r="DJ37" s="91"/>
      <c r="DK37" s="92"/>
      <c r="DL37" s="92"/>
      <c r="DN37" s="89"/>
      <c r="DP37" s="88"/>
      <c r="FK37" s="93"/>
      <c r="FL37" s="92"/>
      <c r="FM37" s="92"/>
      <c r="FN37" s="91"/>
      <c r="FO37" s="92"/>
      <c r="FP37" s="92"/>
      <c r="FQ37" s="92"/>
      <c r="FR37" s="91"/>
      <c r="FS37" s="92"/>
      <c r="FT37" s="92"/>
      <c r="FU37" s="92"/>
      <c r="FV37" s="91"/>
      <c r="FW37" s="92"/>
      <c r="FX37" s="92"/>
      <c r="FY37" s="92"/>
      <c r="FZ37" s="91"/>
      <c r="GA37" s="92"/>
      <c r="GB37" s="98"/>
      <c r="GC37" s="100"/>
    </row>
    <row r="38" spans="1:185" s="71" customFormat="1" ht="9.75" customHeight="1" thickBot="1" x14ac:dyDescent="0.25">
      <c r="A38" s="6">
        <v>120</v>
      </c>
      <c r="B38" s="103"/>
      <c r="C38" s="92"/>
      <c r="D38" s="101"/>
      <c r="E38" s="99"/>
      <c r="F38" s="92"/>
      <c r="G38" s="91"/>
      <c r="H38" s="92"/>
      <c r="I38" s="92"/>
      <c r="J38" s="92"/>
      <c r="K38" s="91"/>
      <c r="L38" s="92"/>
      <c r="M38" s="92"/>
      <c r="N38" s="92"/>
      <c r="O38" s="91"/>
      <c r="P38" s="92"/>
      <c r="Q38" s="92"/>
      <c r="R38" s="88"/>
      <c r="AW38" s="93"/>
      <c r="AX38" s="99"/>
      <c r="AY38" s="99"/>
      <c r="AZ38" s="101"/>
      <c r="BA38" s="92"/>
      <c r="BB38" s="92"/>
      <c r="BC38" s="91"/>
      <c r="BD38" s="92"/>
      <c r="BE38" s="92"/>
      <c r="BF38" s="92"/>
      <c r="BG38" s="91"/>
      <c r="BH38" s="92"/>
      <c r="BI38" s="92"/>
      <c r="BJ38" s="92"/>
      <c r="BK38" s="91"/>
      <c r="BL38" s="92"/>
      <c r="BM38" s="92"/>
      <c r="BO38" s="89"/>
      <c r="BQ38" s="88"/>
      <c r="CV38" s="93"/>
      <c r="CW38" s="92"/>
      <c r="CX38" s="92"/>
      <c r="CY38" s="91"/>
      <c r="CZ38" s="92"/>
      <c r="DA38" s="92"/>
      <c r="DB38" s="92"/>
      <c r="DC38" s="91"/>
      <c r="DD38" s="92"/>
      <c r="DE38" s="92"/>
      <c r="DF38" s="92"/>
      <c r="DG38" s="91"/>
      <c r="DH38" s="92"/>
      <c r="DI38" s="92"/>
      <c r="DJ38" s="92"/>
      <c r="DK38" s="91"/>
      <c r="DL38" s="92"/>
      <c r="DM38" s="98"/>
      <c r="DN38" s="99"/>
      <c r="DO38" s="99"/>
      <c r="DP38" s="88"/>
      <c r="FK38" s="93"/>
      <c r="FL38" s="92"/>
      <c r="FM38" s="92"/>
      <c r="FN38" s="92"/>
      <c r="FO38" s="91"/>
      <c r="FP38" s="92"/>
      <c r="FQ38" s="92"/>
      <c r="FR38" s="92"/>
      <c r="FS38" s="91"/>
      <c r="FT38" s="92"/>
      <c r="FU38" s="92"/>
      <c r="FV38" s="92"/>
      <c r="FW38" s="91"/>
      <c r="FX38" s="92"/>
      <c r="FY38" s="92"/>
      <c r="FZ38" s="92"/>
      <c r="GA38" s="91"/>
      <c r="GB38" s="92"/>
      <c r="GC38" s="94"/>
    </row>
    <row r="39" spans="1:185" s="71" customFormat="1" ht="9.75" customHeight="1" thickBot="1" x14ac:dyDescent="0.25">
      <c r="A39" s="6">
        <v>113.3</v>
      </c>
      <c r="B39" s="103"/>
      <c r="C39" s="95"/>
      <c r="D39" s="92"/>
      <c r="E39" s="92"/>
      <c r="F39" s="92"/>
      <c r="G39" s="92"/>
      <c r="H39" s="91"/>
      <c r="I39" s="92"/>
      <c r="J39" s="92"/>
      <c r="K39" s="92"/>
      <c r="L39" s="91"/>
      <c r="M39" s="92"/>
      <c r="N39" s="92"/>
      <c r="O39" s="92"/>
      <c r="P39" s="91"/>
      <c r="Q39" s="92"/>
      <c r="R39" s="88"/>
      <c r="AW39" s="93"/>
      <c r="AZ39" s="89"/>
      <c r="BA39" s="92"/>
      <c r="BB39" s="92"/>
      <c r="BC39" s="92"/>
      <c r="BD39" s="91"/>
      <c r="BE39" s="92"/>
      <c r="BF39" s="92"/>
      <c r="BG39" s="92"/>
      <c r="BH39" s="91"/>
      <c r="BI39" s="92"/>
      <c r="BJ39" s="92"/>
      <c r="BK39" s="92"/>
      <c r="BL39" s="91"/>
      <c r="BM39" s="92"/>
      <c r="BN39" s="98"/>
      <c r="BO39" s="99"/>
      <c r="BP39" s="99"/>
      <c r="BQ39" s="88"/>
      <c r="CV39" s="93"/>
      <c r="CW39" s="92"/>
      <c r="CX39" s="92"/>
      <c r="CY39" s="92"/>
      <c r="CZ39" s="91"/>
      <c r="DA39" s="92"/>
      <c r="DB39" s="92"/>
      <c r="DC39" s="92"/>
      <c r="DD39" s="91"/>
      <c r="DE39" s="92"/>
      <c r="DF39" s="92"/>
      <c r="DG39" s="92"/>
      <c r="DH39" s="91"/>
      <c r="DI39" s="92"/>
      <c r="DJ39" s="92"/>
      <c r="DK39" s="92"/>
      <c r="DL39" s="91"/>
      <c r="DP39" s="88"/>
      <c r="FK39" s="93"/>
      <c r="FL39" s="92"/>
      <c r="FM39" s="92"/>
      <c r="FN39" s="92"/>
      <c r="FO39" s="92"/>
      <c r="FP39" s="91"/>
      <c r="FQ39" s="92"/>
      <c r="FR39" s="92"/>
      <c r="FS39" s="92"/>
      <c r="FT39" s="91"/>
      <c r="FU39" s="92"/>
      <c r="FV39" s="92"/>
      <c r="FW39" s="92"/>
      <c r="FX39" s="91"/>
      <c r="FY39" s="92"/>
      <c r="FZ39" s="92"/>
      <c r="GA39" s="92"/>
      <c r="GB39" s="91"/>
      <c r="GC39" s="94"/>
    </row>
    <row r="40" spans="1:185" s="71" customFormat="1" ht="9.75" customHeight="1" thickBot="1" x14ac:dyDescent="0.25">
      <c r="A40" s="6">
        <v>106.7</v>
      </c>
      <c r="B40" s="107"/>
      <c r="C40" s="99"/>
      <c r="D40" s="101"/>
      <c r="E40" s="99"/>
      <c r="F40" s="99"/>
      <c r="G40" s="98"/>
      <c r="H40" s="99"/>
      <c r="I40" s="99"/>
      <c r="J40" s="99"/>
      <c r="K40" s="98"/>
      <c r="L40" s="99"/>
      <c r="M40" s="99"/>
      <c r="N40" s="99"/>
      <c r="O40" s="98"/>
      <c r="P40" s="99"/>
      <c r="Q40" s="99"/>
      <c r="R40" s="88"/>
      <c r="AW40" s="93"/>
      <c r="AX40" s="99"/>
      <c r="AY40" s="99"/>
      <c r="AZ40" s="101"/>
      <c r="BA40" s="99"/>
      <c r="BB40" s="99"/>
      <c r="BC40" s="98"/>
      <c r="BD40" s="99"/>
      <c r="BE40" s="99"/>
      <c r="BF40" s="99"/>
      <c r="BG40" s="98"/>
      <c r="BH40" s="99"/>
      <c r="BI40" s="99"/>
      <c r="BJ40" s="99"/>
      <c r="BK40" s="98"/>
      <c r="BL40" s="99"/>
      <c r="BM40" s="99"/>
      <c r="BN40" s="92"/>
      <c r="BO40" s="91"/>
      <c r="BP40" s="92"/>
      <c r="BQ40" s="88"/>
      <c r="CV40" s="93"/>
      <c r="CW40" s="102"/>
      <c r="CX40" s="102"/>
      <c r="CY40" s="106"/>
      <c r="CZ40" s="99"/>
      <c r="DA40" s="99"/>
      <c r="DB40" s="99"/>
      <c r="DC40" s="98"/>
      <c r="DD40" s="99"/>
      <c r="DE40" s="99"/>
      <c r="DF40" s="99"/>
      <c r="DG40" s="98"/>
      <c r="DH40" s="99"/>
      <c r="DI40" s="99"/>
      <c r="DJ40" s="99"/>
      <c r="DK40" s="98"/>
      <c r="DL40" s="99"/>
      <c r="DM40" s="98"/>
      <c r="DN40" s="99"/>
      <c r="DO40" s="99"/>
      <c r="DP40" s="88"/>
      <c r="FK40" s="93"/>
      <c r="FL40" s="99"/>
      <c r="FM40" s="99"/>
      <c r="FN40" s="99"/>
      <c r="FO40" s="98"/>
      <c r="FP40" s="99"/>
      <c r="FQ40" s="99"/>
      <c r="FR40" s="99"/>
      <c r="FS40" s="98"/>
      <c r="FT40" s="99"/>
      <c r="FU40" s="99"/>
      <c r="FV40" s="99"/>
      <c r="FW40" s="98"/>
      <c r="FX40" s="99"/>
      <c r="FY40" s="99"/>
      <c r="FZ40" s="99"/>
      <c r="GA40" s="98"/>
      <c r="GB40" s="102"/>
      <c r="GC40" s="115"/>
    </row>
    <row r="41" spans="1:185" s="71" customFormat="1" ht="9.75" customHeight="1" thickBot="1" x14ac:dyDescent="0.25">
      <c r="A41" s="6">
        <v>100</v>
      </c>
      <c r="B41" s="103"/>
      <c r="C41" s="95"/>
      <c r="F41" s="91"/>
      <c r="G41" s="92"/>
      <c r="H41" s="92"/>
      <c r="I41" s="92"/>
      <c r="J41" s="91"/>
      <c r="K41" s="92"/>
      <c r="L41" s="92"/>
      <c r="M41" s="92"/>
      <c r="N41" s="91"/>
      <c r="O41" s="92"/>
      <c r="P41" s="92"/>
      <c r="Q41" s="92"/>
      <c r="R41" s="88"/>
      <c r="AW41" s="93"/>
      <c r="BA41" s="92"/>
      <c r="BB41" s="91"/>
      <c r="BC41" s="92"/>
      <c r="BD41" s="92"/>
      <c r="BE41" s="92"/>
      <c r="BF41" s="91"/>
      <c r="BG41" s="92"/>
      <c r="BH41" s="92"/>
      <c r="BI41" s="92"/>
      <c r="BJ41" s="91"/>
      <c r="BK41" s="92"/>
      <c r="BL41" s="92"/>
      <c r="BM41" s="92"/>
      <c r="BN41" s="91"/>
      <c r="BO41" s="92"/>
      <c r="BP41" s="92"/>
      <c r="BQ41" s="88"/>
      <c r="CV41" s="93"/>
      <c r="CW41" s="99"/>
      <c r="CX41" s="99"/>
      <c r="CY41" s="101"/>
      <c r="CZ41" s="92"/>
      <c r="DA41" s="92"/>
      <c r="DB41" s="91"/>
      <c r="DC41" s="92"/>
      <c r="DD41" s="92"/>
      <c r="DE41" s="92"/>
      <c r="DF41" s="91"/>
      <c r="DG41" s="92"/>
      <c r="DH41" s="92"/>
      <c r="DI41" s="92"/>
      <c r="DJ41" s="91"/>
      <c r="DK41" s="92"/>
      <c r="DL41" s="92"/>
      <c r="DN41" s="89"/>
      <c r="DP41" s="88"/>
      <c r="FK41" s="93"/>
      <c r="FL41" s="92"/>
      <c r="FM41" s="92"/>
      <c r="FN41" s="91"/>
      <c r="FO41" s="92"/>
      <c r="FP41" s="92"/>
      <c r="FQ41" s="92"/>
      <c r="FR41" s="91"/>
      <c r="FS41" s="92"/>
      <c r="FT41" s="92"/>
      <c r="FU41" s="92"/>
      <c r="FV41" s="91"/>
      <c r="FW41" s="92"/>
      <c r="FX41" s="92"/>
      <c r="FY41" s="92"/>
      <c r="FZ41" s="91"/>
      <c r="GA41" s="92"/>
      <c r="GB41" s="98"/>
      <c r="GC41" s="100"/>
    </row>
    <row r="42" spans="1:185" s="71" customFormat="1" ht="9.75" customHeight="1" thickBot="1" x14ac:dyDescent="0.25">
      <c r="A42" s="6">
        <v>93.3</v>
      </c>
      <c r="B42" s="103"/>
      <c r="C42" s="92"/>
      <c r="D42" s="101"/>
      <c r="E42" s="99"/>
      <c r="F42" s="92"/>
      <c r="G42" s="91"/>
      <c r="H42" s="92"/>
      <c r="I42" s="92"/>
      <c r="J42" s="92"/>
      <c r="K42" s="91"/>
      <c r="L42" s="92"/>
      <c r="M42" s="92"/>
      <c r="N42" s="92"/>
      <c r="O42" s="91"/>
      <c r="P42" s="92"/>
      <c r="Q42" s="92"/>
      <c r="R42" s="88"/>
      <c r="AW42" s="93"/>
      <c r="AX42" s="99"/>
      <c r="AY42" s="99"/>
      <c r="AZ42" s="101"/>
      <c r="BA42" s="92"/>
      <c r="BB42" s="92"/>
      <c r="BC42" s="91"/>
      <c r="BD42" s="92"/>
      <c r="BE42" s="92"/>
      <c r="BF42" s="92"/>
      <c r="BG42" s="91"/>
      <c r="BH42" s="92"/>
      <c r="BI42" s="92"/>
      <c r="BJ42" s="92"/>
      <c r="BK42" s="91"/>
      <c r="BL42" s="92"/>
      <c r="BM42" s="92"/>
      <c r="BO42" s="89"/>
      <c r="BQ42" s="88"/>
      <c r="CV42" s="93"/>
      <c r="CW42" s="92"/>
      <c r="CX42" s="92"/>
      <c r="CY42" s="91"/>
      <c r="CZ42" s="92"/>
      <c r="DA42" s="92"/>
      <c r="DB42" s="92"/>
      <c r="DC42" s="91"/>
      <c r="DD42" s="92"/>
      <c r="DE42" s="92"/>
      <c r="DF42" s="92"/>
      <c r="DG42" s="91"/>
      <c r="DH42" s="92"/>
      <c r="DI42" s="92"/>
      <c r="DJ42" s="92"/>
      <c r="DK42" s="91"/>
      <c r="DL42" s="92"/>
      <c r="DM42" s="98"/>
      <c r="DN42" s="99"/>
      <c r="DO42" s="99"/>
      <c r="DP42" s="88"/>
      <c r="FK42" s="93"/>
      <c r="FL42" s="92"/>
      <c r="FM42" s="92"/>
      <c r="FN42" s="92"/>
      <c r="FO42" s="91"/>
      <c r="FP42" s="92"/>
      <c r="FQ42" s="92"/>
      <c r="FR42" s="92"/>
      <c r="FS42" s="91"/>
      <c r="FT42" s="92"/>
      <c r="FU42" s="92"/>
      <c r="FV42" s="92"/>
      <c r="FW42" s="91"/>
      <c r="FX42" s="92"/>
      <c r="FY42" s="92"/>
      <c r="FZ42" s="92"/>
      <c r="GA42" s="91"/>
      <c r="GB42" s="92"/>
      <c r="GC42" s="94"/>
    </row>
    <row r="43" spans="1:185" s="71" customFormat="1" ht="9.75" customHeight="1" thickBot="1" x14ac:dyDescent="0.25">
      <c r="A43" s="6">
        <v>86.7</v>
      </c>
      <c r="B43" s="103"/>
      <c r="C43" s="95"/>
      <c r="D43" s="92"/>
      <c r="E43" s="92"/>
      <c r="F43" s="92"/>
      <c r="G43" s="92"/>
      <c r="H43" s="91"/>
      <c r="I43" s="92"/>
      <c r="J43" s="92"/>
      <c r="K43" s="92"/>
      <c r="L43" s="91"/>
      <c r="M43" s="92"/>
      <c r="N43" s="92"/>
      <c r="O43" s="92"/>
      <c r="P43" s="91"/>
      <c r="Q43" s="92"/>
      <c r="R43" s="88"/>
      <c r="AW43" s="93"/>
      <c r="AZ43" s="89"/>
      <c r="BA43" s="92"/>
      <c r="BB43" s="92"/>
      <c r="BC43" s="92"/>
      <c r="BD43" s="91"/>
      <c r="BE43" s="92"/>
      <c r="BF43" s="92"/>
      <c r="BG43" s="92"/>
      <c r="BH43" s="91"/>
      <c r="BI43" s="92"/>
      <c r="BJ43" s="92"/>
      <c r="BK43" s="92"/>
      <c r="BL43" s="91"/>
      <c r="BM43" s="92"/>
      <c r="BN43" s="98"/>
      <c r="BO43" s="99"/>
      <c r="BP43" s="99"/>
      <c r="BQ43" s="88"/>
      <c r="CV43" s="93"/>
      <c r="CW43" s="92"/>
      <c r="CX43" s="92"/>
      <c r="CY43" s="92"/>
      <c r="CZ43" s="91"/>
      <c r="DA43" s="92"/>
      <c r="DB43" s="92"/>
      <c r="DC43" s="92"/>
      <c r="DD43" s="91"/>
      <c r="DE43" s="92"/>
      <c r="DF43" s="92"/>
      <c r="DG43" s="92"/>
      <c r="DH43" s="91"/>
      <c r="DI43" s="92"/>
      <c r="DJ43" s="92"/>
      <c r="DK43" s="92"/>
      <c r="DL43" s="91"/>
      <c r="DP43" s="88"/>
      <c r="FK43" s="93"/>
      <c r="FL43" s="92"/>
      <c r="FM43" s="92"/>
      <c r="FN43" s="92"/>
      <c r="FO43" s="92"/>
      <c r="FP43" s="91"/>
      <c r="FQ43" s="92"/>
      <c r="FR43" s="92"/>
      <c r="FS43" s="92"/>
      <c r="FT43" s="91"/>
      <c r="FU43" s="92"/>
      <c r="FV43" s="92"/>
      <c r="FW43" s="92"/>
      <c r="FX43" s="91"/>
      <c r="FY43" s="92"/>
      <c r="FZ43" s="92"/>
      <c r="GA43" s="92"/>
      <c r="GB43" s="91"/>
      <c r="GC43" s="94"/>
    </row>
    <row r="44" spans="1:185" s="71" customFormat="1" ht="9.75" customHeight="1" thickBot="1" x14ac:dyDescent="0.25">
      <c r="A44" s="6">
        <v>80</v>
      </c>
      <c r="B44" s="107"/>
      <c r="C44" s="99"/>
      <c r="D44" s="101"/>
      <c r="E44" s="99"/>
      <c r="F44" s="99"/>
      <c r="G44" s="98"/>
      <c r="H44" s="99"/>
      <c r="I44" s="99"/>
      <c r="J44" s="99"/>
      <c r="K44" s="98"/>
      <c r="L44" s="99"/>
      <c r="M44" s="99"/>
      <c r="N44" s="99"/>
      <c r="O44" s="98"/>
      <c r="P44" s="99"/>
      <c r="Q44" s="99"/>
      <c r="R44" s="88"/>
      <c r="AW44" s="93"/>
      <c r="AX44" s="99"/>
      <c r="AY44" s="99"/>
      <c r="AZ44" s="101"/>
      <c r="BA44" s="99"/>
      <c r="BB44" s="99"/>
      <c r="BC44" s="98"/>
      <c r="BD44" s="99"/>
      <c r="BE44" s="99"/>
      <c r="BF44" s="99"/>
      <c r="BG44" s="98"/>
      <c r="BH44" s="99"/>
      <c r="BI44" s="99"/>
      <c r="BJ44" s="99"/>
      <c r="BK44" s="98"/>
      <c r="BL44" s="99"/>
      <c r="BM44" s="99"/>
      <c r="BN44" s="92"/>
      <c r="BO44" s="91"/>
      <c r="BP44" s="92"/>
      <c r="BQ44" s="88"/>
      <c r="CV44" s="93"/>
      <c r="CW44" s="102"/>
      <c r="CX44" s="102"/>
      <c r="CY44" s="106"/>
      <c r="CZ44" s="99"/>
      <c r="DA44" s="99"/>
      <c r="DB44" s="99"/>
      <c r="DC44" s="98"/>
      <c r="DD44" s="99"/>
      <c r="DE44" s="99"/>
      <c r="DF44" s="99"/>
      <c r="DG44" s="98"/>
      <c r="DH44" s="99"/>
      <c r="DI44" s="99"/>
      <c r="DJ44" s="99"/>
      <c r="DK44" s="98"/>
      <c r="DL44" s="99"/>
      <c r="DM44" s="98"/>
      <c r="DN44" s="99"/>
      <c r="DO44" s="99"/>
      <c r="DP44" s="88"/>
      <c r="FK44" s="93"/>
      <c r="FL44" s="99"/>
      <c r="FM44" s="99"/>
      <c r="FN44" s="99"/>
      <c r="FO44" s="98"/>
      <c r="FP44" s="99"/>
      <c r="FQ44" s="99"/>
      <c r="FR44" s="99"/>
      <c r="FS44" s="98"/>
      <c r="FT44" s="99"/>
      <c r="FU44" s="99"/>
      <c r="FV44" s="99"/>
      <c r="FW44" s="98"/>
      <c r="FX44" s="99"/>
      <c r="FY44" s="99"/>
      <c r="FZ44" s="99"/>
      <c r="GA44" s="98"/>
      <c r="GB44" s="102"/>
      <c r="GC44" s="115"/>
    </row>
    <row r="45" spans="1:185" s="71" customFormat="1" ht="9.75" customHeight="1" thickBot="1" x14ac:dyDescent="0.25">
      <c r="A45" s="6">
        <v>73.3</v>
      </c>
      <c r="B45" s="103"/>
      <c r="C45" s="95"/>
      <c r="F45" s="91"/>
      <c r="G45" s="92"/>
      <c r="H45" s="92"/>
      <c r="I45" s="92"/>
      <c r="J45" s="91"/>
      <c r="K45" s="92"/>
      <c r="L45" s="92"/>
      <c r="M45" s="92"/>
      <c r="N45" s="91"/>
      <c r="O45" s="92"/>
      <c r="P45" s="92"/>
      <c r="Q45" s="92"/>
      <c r="R45" s="88"/>
      <c r="AW45" s="93"/>
      <c r="BA45" s="92"/>
      <c r="BB45" s="91"/>
      <c r="BC45" s="92"/>
      <c r="BD45" s="92"/>
      <c r="BE45" s="92"/>
      <c r="BF45" s="91"/>
      <c r="BG45" s="92"/>
      <c r="BH45" s="92"/>
      <c r="BI45" s="92"/>
      <c r="BJ45" s="91"/>
      <c r="BK45" s="92"/>
      <c r="BL45" s="92"/>
      <c r="BM45" s="92"/>
      <c r="BN45" s="91"/>
      <c r="BO45" s="92"/>
      <c r="BP45" s="92"/>
      <c r="BQ45" s="88"/>
      <c r="CV45" s="93"/>
      <c r="CW45" s="99"/>
      <c r="CX45" s="99"/>
      <c r="CY45" s="101"/>
      <c r="CZ45" s="92"/>
      <c r="DA45" s="92"/>
      <c r="DB45" s="91"/>
      <c r="DC45" s="92"/>
      <c r="DD45" s="92"/>
      <c r="DE45" s="92"/>
      <c r="DF45" s="91"/>
      <c r="DG45" s="92"/>
      <c r="DH45" s="92"/>
      <c r="DI45" s="92"/>
      <c r="DJ45" s="91"/>
      <c r="DK45" s="92"/>
      <c r="DL45" s="92"/>
      <c r="DN45" s="89"/>
      <c r="DP45" s="88"/>
      <c r="FK45" s="93"/>
      <c r="FL45" s="92"/>
      <c r="FM45" s="92"/>
      <c r="FN45" s="91"/>
      <c r="FO45" s="92"/>
      <c r="FP45" s="92"/>
      <c r="FQ45" s="92"/>
      <c r="FR45" s="91"/>
      <c r="FS45" s="92"/>
      <c r="FT45" s="92"/>
      <c r="FU45" s="92"/>
      <c r="FV45" s="91"/>
      <c r="FW45" s="92"/>
      <c r="FX45" s="92"/>
      <c r="FY45" s="92"/>
      <c r="FZ45" s="91"/>
      <c r="GA45" s="92"/>
      <c r="GB45" s="98"/>
      <c r="GC45" s="100"/>
    </row>
    <row r="46" spans="1:185" s="71" customFormat="1" ht="9.75" customHeight="1" thickBot="1" x14ac:dyDescent="0.25">
      <c r="A46" s="6">
        <v>66.7</v>
      </c>
      <c r="B46" s="103"/>
      <c r="C46" s="92"/>
      <c r="D46" s="101"/>
      <c r="E46" s="99"/>
      <c r="F46" s="92"/>
      <c r="G46" s="91"/>
      <c r="H46" s="92"/>
      <c r="I46" s="92"/>
      <c r="J46" s="92"/>
      <c r="K46" s="91"/>
      <c r="L46" s="92"/>
      <c r="M46" s="92"/>
      <c r="N46" s="92"/>
      <c r="O46" s="91"/>
      <c r="P46" s="92"/>
      <c r="Q46" s="92"/>
      <c r="R46" s="88"/>
      <c r="AW46" s="93"/>
      <c r="AX46" s="99"/>
      <c r="AY46" s="99"/>
      <c r="AZ46" s="101"/>
      <c r="BA46" s="92"/>
      <c r="BB46" s="92"/>
      <c r="BC46" s="91"/>
      <c r="BD46" s="92"/>
      <c r="BE46" s="92"/>
      <c r="BF46" s="92"/>
      <c r="BG46" s="91"/>
      <c r="BH46" s="92"/>
      <c r="BI46" s="92"/>
      <c r="BJ46" s="92"/>
      <c r="BK46" s="91"/>
      <c r="BL46" s="92"/>
      <c r="BM46" s="92"/>
      <c r="BO46" s="89"/>
      <c r="BQ46" s="88"/>
      <c r="CV46" s="93"/>
      <c r="CW46" s="92"/>
      <c r="CX46" s="92"/>
      <c r="CY46" s="91"/>
      <c r="CZ46" s="92"/>
      <c r="DA46" s="92"/>
      <c r="DB46" s="92"/>
      <c r="DC46" s="91"/>
      <c r="DD46" s="92"/>
      <c r="DE46" s="92"/>
      <c r="DF46" s="92"/>
      <c r="DG46" s="91"/>
      <c r="DH46" s="92"/>
      <c r="DI46" s="92"/>
      <c r="DJ46" s="92"/>
      <c r="DK46" s="91"/>
      <c r="DL46" s="92"/>
      <c r="DM46" s="98"/>
      <c r="DN46" s="99"/>
      <c r="DO46" s="99"/>
      <c r="DP46" s="88"/>
      <c r="FK46" s="93"/>
      <c r="FL46" s="92"/>
      <c r="FM46" s="92"/>
      <c r="FN46" s="92"/>
      <c r="FO46" s="91"/>
      <c r="FP46" s="92"/>
      <c r="FQ46" s="92"/>
      <c r="FR46" s="92"/>
      <c r="FS46" s="91"/>
      <c r="FT46" s="92"/>
      <c r="FU46" s="92"/>
      <c r="FV46" s="92"/>
      <c r="FW46" s="91"/>
      <c r="FX46" s="92"/>
      <c r="FY46" s="92"/>
      <c r="FZ46" s="92"/>
      <c r="GA46" s="91"/>
      <c r="GB46" s="92"/>
      <c r="GC46" s="94"/>
    </row>
    <row r="47" spans="1:185" s="71" customFormat="1" ht="9.75" customHeight="1" thickBot="1" x14ac:dyDescent="0.25">
      <c r="A47" s="6">
        <v>60</v>
      </c>
      <c r="B47" s="103"/>
      <c r="C47" s="95"/>
      <c r="D47" s="92"/>
      <c r="E47" s="92"/>
      <c r="F47" s="92"/>
      <c r="G47" s="92"/>
      <c r="H47" s="91"/>
      <c r="I47" s="92"/>
      <c r="J47" s="92"/>
      <c r="K47" s="92"/>
      <c r="L47" s="91"/>
      <c r="M47" s="92"/>
      <c r="N47" s="92"/>
      <c r="O47" s="92"/>
      <c r="P47" s="91"/>
      <c r="Q47" s="92"/>
      <c r="R47" s="88"/>
      <c r="AW47" s="93"/>
      <c r="AZ47" s="89"/>
      <c r="BA47" s="92"/>
      <c r="BB47" s="92"/>
      <c r="BC47" s="92"/>
      <c r="BD47" s="91"/>
      <c r="BE47" s="92"/>
      <c r="BF47" s="92"/>
      <c r="BG47" s="92"/>
      <c r="BH47" s="91"/>
      <c r="BI47" s="92"/>
      <c r="BJ47" s="92"/>
      <c r="BK47" s="92"/>
      <c r="BL47" s="91"/>
      <c r="BM47" s="92"/>
      <c r="BN47" s="98"/>
      <c r="BO47" s="99"/>
      <c r="BP47" s="99"/>
      <c r="BQ47" s="88"/>
      <c r="CV47" s="93"/>
      <c r="CW47" s="92"/>
      <c r="CX47" s="92"/>
      <c r="CY47" s="92"/>
      <c r="CZ47" s="91"/>
      <c r="DA47" s="92"/>
      <c r="DB47" s="92"/>
      <c r="DC47" s="92"/>
      <c r="DD47" s="91"/>
      <c r="DE47" s="92"/>
      <c r="DF47" s="92"/>
      <c r="DG47" s="92"/>
      <c r="DH47" s="91"/>
      <c r="DI47" s="92"/>
      <c r="DJ47" s="92"/>
      <c r="DK47" s="92"/>
      <c r="DL47" s="91"/>
      <c r="DP47" s="88"/>
      <c r="FK47" s="93"/>
      <c r="FL47" s="92"/>
      <c r="FM47" s="92"/>
      <c r="FN47" s="92"/>
      <c r="FO47" s="92"/>
      <c r="FP47" s="91"/>
      <c r="FQ47" s="92"/>
      <c r="FR47" s="92"/>
      <c r="FS47" s="92"/>
      <c r="FT47" s="91"/>
      <c r="FU47" s="92"/>
      <c r="FV47" s="92"/>
      <c r="FW47" s="92"/>
      <c r="FX47" s="91"/>
      <c r="FY47" s="92"/>
      <c r="FZ47" s="92"/>
      <c r="GA47" s="92"/>
      <c r="GB47" s="91"/>
      <c r="GC47" s="94"/>
    </row>
    <row r="48" spans="1:185" s="71" customFormat="1" ht="9.75" customHeight="1" thickBot="1" x14ac:dyDescent="0.25">
      <c r="A48" s="6">
        <v>53.3</v>
      </c>
      <c r="B48" s="107"/>
      <c r="C48" s="99"/>
      <c r="D48" s="101"/>
      <c r="E48" s="99"/>
      <c r="F48" s="99"/>
      <c r="G48" s="98"/>
      <c r="H48" s="99"/>
      <c r="I48" s="99"/>
      <c r="J48" s="99"/>
      <c r="K48" s="98"/>
      <c r="L48" s="99"/>
      <c r="M48" s="99"/>
      <c r="N48" s="99"/>
      <c r="O48" s="98"/>
      <c r="P48" s="99"/>
      <c r="Q48" s="99"/>
      <c r="R48" s="88"/>
      <c r="AW48" s="93"/>
      <c r="AX48" s="99"/>
      <c r="AY48" s="99"/>
      <c r="AZ48" s="101"/>
      <c r="BA48" s="99"/>
      <c r="BB48" s="99"/>
      <c r="BC48" s="98"/>
      <c r="BD48" s="99"/>
      <c r="BE48" s="99"/>
      <c r="BF48" s="99"/>
      <c r="BG48" s="98"/>
      <c r="BH48" s="99"/>
      <c r="BI48" s="99"/>
      <c r="BJ48" s="99"/>
      <c r="BK48" s="98"/>
      <c r="BL48" s="99"/>
      <c r="BM48" s="99"/>
      <c r="BN48" s="92"/>
      <c r="BO48" s="91"/>
      <c r="BP48" s="92"/>
      <c r="BQ48" s="88"/>
      <c r="CV48" s="93"/>
      <c r="CW48" s="102"/>
      <c r="CX48" s="102"/>
      <c r="CY48" s="106"/>
      <c r="CZ48" s="99"/>
      <c r="DA48" s="99"/>
      <c r="DB48" s="99"/>
      <c r="DC48" s="98"/>
      <c r="DD48" s="99"/>
      <c r="DE48" s="99"/>
      <c r="DF48" s="99"/>
      <c r="DG48" s="98"/>
      <c r="DH48" s="99"/>
      <c r="DI48" s="99"/>
      <c r="DJ48" s="99"/>
      <c r="DK48" s="98"/>
      <c r="DL48" s="99"/>
      <c r="DM48" s="98"/>
      <c r="DN48" s="99"/>
      <c r="DO48" s="99"/>
      <c r="DP48" s="88"/>
      <c r="FK48" s="93"/>
      <c r="FL48" s="99"/>
      <c r="FM48" s="99"/>
      <c r="FN48" s="99"/>
      <c r="FO48" s="98"/>
      <c r="FP48" s="99"/>
      <c r="FQ48" s="99"/>
      <c r="FR48" s="99"/>
      <c r="FS48" s="98"/>
      <c r="FT48" s="99"/>
      <c r="FU48" s="99"/>
      <c r="FV48" s="99"/>
      <c r="FW48" s="98"/>
      <c r="FX48" s="99"/>
      <c r="FY48" s="99"/>
      <c r="FZ48" s="99"/>
      <c r="GA48" s="98"/>
      <c r="GB48" s="102"/>
      <c r="GC48" s="115"/>
    </row>
    <row r="49" spans="1:501" s="71" customFormat="1" ht="9.75" customHeight="1" thickBot="1" x14ac:dyDescent="0.25">
      <c r="A49" s="6">
        <v>46.7</v>
      </c>
      <c r="B49" s="103"/>
      <c r="C49" s="95"/>
      <c r="F49" s="91"/>
      <c r="G49" s="92"/>
      <c r="H49" s="92"/>
      <c r="I49" s="92"/>
      <c r="J49" s="91"/>
      <c r="K49" s="92"/>
      <c r="L49" s="92"/>
      <c r="M49" s="92"/>
      <c r="N49" s="91"/>
      <c r="O49" s="92"/>
      <c r="P49" s="92"/>
      <c r="Q49" s="92"/>
      <c r="R49" s="88"/>
      <c r="AW49" s="93"/>
      <c r="BA49" s="92"/>
      <c r="BB49" s="91"/>
      <c r="BC49" s="92"/>
      <c r="BD49" s="92"/>
      <c r="BE49" s="92"/>
      <c r="BF49" s="91"/>
      <c r="BG49" s="92"/>
      <c r="BH49" s="92"/>
      <c r="BI49" s="92"/>
      <c r="BJ49" s="91"/>
      <c r="BK49" s="92"/>
      <c r="BL49" s="92"/>
      <c r="BM49" s="92"/>
      <c r="BN49" s="91"/>
      <c r="BO49" s="92"/>
      <c r="BP49" s="92"/>
      <c r="BQ49" s="88"/>
      <c r="CV49" s="93"/>
      <c r="CW49" s="99"/>
      <c r="CX49" s="99"/>
      <c r="CY49" s="101"/>
      <c r="CZ49" s="92"/>
      <c r="DA49" s="92"/>
      <c r="DB49" s="91"/>
      <c r="DC49" s="92"/>
      <c r="DD49" s="92"/>
      <c r="DE49" s="92"/>
      <c r="DF49" s="91"/>
      <c r="DG49" s="92"/>
      <c r="DH49" s="92"/>
      <c r="DI49" s="92"/>
      <c r="DJ49" s="91"/>
      <c r="DK49" s="92"/>
      <c r="DL49" s="92"/>
      <c r="DN49" s="89"/>
      <c r="DP49" s="88"/>
      <c r="FK49" s="93"/>
      <c r="FL49" s="92"/>
      <c r="FM49" s="92"/>
      <c r="FN49" s="91"/>
      <c r="FO49" s="92"/>
      <c r="FP49" s="92"/>
      <c r="FQ49" s="92"/>
      <c r="FR49" s="91"/>
      <c r="FS49" s="92"/>
      <c r="FT49" s="92"/>
      <c r="FU49" s="92"/>
      <c r="FV49" s="91"/>
      <c r="FW49" s="92"/>
      <c r="FX49" s="92"/>
      <c r="FY49" s="92"/>
      <c r="FZ49" s="91"/>
      <c r="GA49" s="92"/>
      <c r="GB49" s="98"/>
      <c r="GC49" s="100"/>
    </row>
    <row r="50" spans="1:501" s="71" customFormat="1" ht="9.75" customHeight="1" thickBot="1" x14ac:dyDescent="0.25">
      <c r="A50" s="6">
        <v>40</v>
      </c>
      <c r="B50" s="103"/>
      <c r="C50" s="92"/>
      <c r="D50" s="101"/>
      <c r="E50" s="99"/>
      <c r="F50" s="92"/>
      <c r="G50" s="91"/>
      <c r="H50" s="92"/>
      <c r="I50" s="92"/>
      <c r="J50" s="92"/>
      <c r="K50" s="91"/>
      <c r="L50" s="92"/>
      <c r="M50" s="92"/>
      <c r="N50" s="92"/>
      <c r="O50" s="91"/>
      <c r="P50" s="92"/>
      <c r="Q50" s="92"/>
      <c r="R50" s="88"/>
      <c r="AW50" s="93"/>
      <c r="AX50" s="99"/>
      <c r="AY50" s="99"/>
      <c r="AZ50" s="101"/>
      <c r="BA50" s="92"/>
      <c r="BB50" s="92"/>
      <c r="BC50" s="91"/>
      <c r="BD50" s="92"/>
      <c r="BE50" s="92"/>
      <c r="BF50" s="92"/>
      <c r="BG50" s="91"/>
      <c r="BH50" s="92"/>
      <c r="BI50" s="92"/>
      <c r="BJ50" s="92"/>
      <c r="BK50" s="91"/>
      <c r="BL50" s="92"/>
      <c r="BM50" s="92"/>
      <c r="BO50" s="89"/>
      <c r="BQ50" s="88"/>
      <c r="CV50" s="93"/>
      <c r="CW50" s="92"/>
      <c r="CX50" s="92"/>
      <c r="CY50" s="91"/>
      <c r="CZ50" s="92"/>
      <c r="DA50" s="92"/>
      <c r="DB50" s="92"/>
      <c r="DC50" s="91"/>
      <c r="DD50" s="92"/>
      <c r="DE50" s="92"/>
      <c r="DF50" s="92"/>
      <c r="DG50" s="91"/>
      <c r="DH50" s="92"/>
      <c r="DI50" s="92"/>
      <c r="DJ50" s="92"/>
      <c r="DK50" s="91"/>
      <c r="DL50" s="92"/>
      <c r="DM50" s="98"/>
      <c r="DN50" s="99"/>
      <c r="DO50" s="99"/>
      <c r="DP50" s="88"/>
      <c r="FK50" s="93"/>
      <c r="FL50" s="92"/>
      <c r="FM50" s="92"/>
      <c r="FN50" s="92"/>
      <c r="FO50" s="91"/>
      <c r="FP50" s="92"/>
      <c r="FQ50" s="92"/>
      <c r="FR50" s="92"/>
      <c r="FS50" s="91"/>
      <c r="FT50" s="92"/>
      <c r="FU50" s="92"/>
      <c r="FV50" s="92"/>
      <c r="FW50" s="91"/>
      <c r="FX50" s="92"/>
      <c r="FY50" s="92"/>
      <c r="FZ50" s="92"/>
      <c r="GA50" s="91"/>
      <c r="GB50" s="92"/>
      <c r="GC50" s="94"/>
    </row>
    <row r="51" spans="1:501" s="71" customFormat="1" ht="9.75" customHeight="1" thickBot="1" x14ac:dyDescent="0.25">
      <c r="A51" s="6">
        <v>33.299999999999997</v>
      </c>
      <c r="B51" s="103"/>
      <c r="C51" s="95"/>
      <c r="D51" s="92"/>
      <c r="E51" s="92"/>
      <c r="F51" s="92"/>
      <c r="G51" s="92"/>
      <c r="H51" s="91"/>
      <c r="I51" s="92"/>
      <c r="J51" s="92"/>
      <c r="K51" s="92"/>
      <c r="L51" s="91"/>
      <c r="M51" s="92"/>
      <c r="N51" s="92"/>
      <c r="O51" s="92"/>
      <c r="P51" s="91"/>
      <c r="Q51" s="92"/>
      <c r="R51" s="88"/>
      <c r="AW51" s="93"/>
      <c r="AZ51" s="89"/>
      <c r="BA51" s="92"/>
      <c r="BB51" s="92"/>
      <c r="BC51" s="92"/>
      <c r="BD51" s="91"/>
      <c r="BE51" s="92"/>
      <c r="BF51" s="92"/>
      <c r="BG51" s="92"/>
      <c r="BH51" s="91"/>
      <c r="BI51" s="92"/>
      <c r="BJ51" s="92"/>
      <c r="BK51" s="92"/>
      <c r="BL51" s="91"/>
      <c r="BM51" s="92"/>
      <c r="BN51" s="98"/>
      <c r="BO51" s="99"/>
      <c r="BP51" s="99"/>
      <c r="BQ51" s="88"/>
      <c r="CV51" s="93"/>
      <c r="CW51" s="92"/>
      <c r="CX51" s="92"/>
      <c r="CY51" s="92"/>
      <c r="CZ51" s="91"/>
      <c r="DA51" s="92"/>
      <c r="DB51" s="92"/>
      <c r="DC51" s="92"/>
      <c r="DD51" s="91"/>
      <c r="DE51" s="92"/>
      <c r="DF51" s="92"/>
      <c r="DG51" s="92"/>
      <c r="DH51" s="91"/>
      <c r="DI51" s="92"/>
      <c r="DJ51" s="92"/>
      <c r="DK51" s="92"/>
      <c r="DL51" s="91"/>
      <c r="DP51" s="88"/>
      <c r="FK51" s="93"/>
      <c r="FL51" s="92"/>
      <c r="FM51" s="92"/>
      <c r="FN51" s="92"/>
      <c r="FO51" s="92"/>
      <c r="FP51" s="91"/>
      <c r="FQ51" s="92"/>
      <c r="FR51" s="92"/>
      <c r="FS51" s="92"/>
      <c r="FT51" s="91"/>
      <c r="FU51" s="92"/>
      <c r="FV51" s="92"/>
      <c r="FW51" s="92"/>
      <c r="FX51" s="91"/>
      <c r="FY51" s="92"/>
      <c r="FZ51" s="92"/>
      <c r="GA51" s="92"/>
      <c r="GB51" s="91"/>
      <c r="GC51" s="94"/>
    </row>
    <row r="52" spans="1:501" s="71" customFormat="1" ht="9.75" customHeight="1" thickBot="1" x14ac:dyDescent="0.25">
      <c r="A52" s="6">
        <v>26.7</v>
      </c>
      <c r="B52" s="107"/>
      <c r="C52" s="99"/>
      <c r="D52" s="101"/>
      <c r="E52" s="99"/>
      <c r="F52" s="99"/>
      <c r="G52" s="98"/>
      <c r="H52" s="99"/>
      <c r="I52" s="99"/>
      <c r="J52" s="99"/>
      <c r="K52" s="98"/>
      <c r="L52" s="99"/>
      <c r="M52" s="99"/>
      <c r="N52" s="99"/>
      <c r="O52" s="98"/>
      <c r="P52" s="99"/>
      <c r="Q52" s="99"/>
      <c r="R52" s="88"/>
      <c r="AW52" s="93"/>
      <c r="AX52" s="99"/>
      <c r="AY52" s="99"/>
      <c r="AZ52" s="101"/>
      <c r="BA52" s="99"/>
      <c r="BB52" s="99"/>
      <c r="BC52" s="98"/>
      <c r="BD52" s="99"/>
      <c r="BE52" s="99"/>
      <c r="BF52" s="99"/>
      <c r="BG52" s="98"/>
      <c r="BH52" s="99"/>
      <c r="BI52" s="99"/>
      <c r="BJ52" s="99"/>
      <c r="BK52" s="98"/>
      <c r="BL52" s="99"/>
      <c r="BM52" s="99"/>
      <c r="BN52" s="92"/>
      <c r="BO52" s="91"/>
      <c r="BP52" s="92"/>
      <c r="BQ52" s="88"/>
      <c r="CV52" s="93"/>
      <c r="CW52" s="102"/>
      <c r="CX52" s="102"/>
      <c r="CY52" s="106"/>
      <c r="CZ52" s="99"/>
      <c r="DA52" s="99"/>
      <c r="DB52" s="99"/>
      <c r="DC52" s="98"/>
      <c r="DD52" s="99"/>
      <c r="DE52" s="99"/>
      <c r="DF52" s="99"/>
      <c r="DG52" s="98"/>
      <c r="DH52" s="99"/>
      <c r="DI52" s="99"/>
      <c r="DJ52" s="99"/>
      <c r="DK52" s="98"/>
      <c r="DL52" s="99"/>
      <c r="DM52" s="98"/>
      <c r="DN52" s="99"/>
      <c r="DO52" s="99"/>
      <c r="DP52" s="88"/>
      <c r="FK52" s="93"/>
      <c r="FL52" s="99"/>
      <c r="FM52" s="99"/>
      <c r="FN52" s="99"/>
      <c r="FO52" s="98"/>
      <c r="FP52" s="99"/>
      <c r="FQ52" s="99"/>
      <c r="FR52" s="99"/>
      <c r="FS52" s="98"/>
      <c r="FT52" s="99"/>
      <c r="FU52" s="99"/>
      <c r="FV52" s="99"/>
      <c r="FW52" s="98"/>
      <c r="FX52" s="99"/>
      <c r="FY52" s="99"/>
      <c r="FZ52" s="99"/>
      <c r="GA52" s="98"/>
      <c r="GB52" s="102"/>
      <c r="GC52" s="115"/>
    </row>
    <row r="53" spans="1:501" s="71" customFormat="1" ht="9.75" customHeight="1" thickBot="1" x14ac:dyDescent="0.25">
      <c r="A53" s="6">
        <v>20</v>
      </c>
      <c r="B53" s="103"/>
      <c r="C53" s="95"/>
      <c r="F53" s="91"/>
      <c r="G53" s="92"/>
      <c r="H53" s="92"/>
      <c r="I53" s="92"/>
      <c r="J53" s="91"/>
      <c r="K53" s="92"/>
      <c r="L53" s="92"/>
      <c r="M53" s="92"/>
      <c r="N53" s="91"/>
      <c r="O53" s="92"/>
      <c r="P53" s="92"/>
      <c r="Q53" s="92"/>
      <c r="R53" s="88"/>
      <c r="AW53" s="93"/>
      <c r="BA53" s="92"/>
      <c r="BB53" s="91"/>
      <c r="BC53" s="92"/>
      <c r="BD53" s="92"/>
      <c r="BE53" s="92"/>
      <c r="BF53" s="91"/>
      <c r="BG53" s="92"/>
      <c r="BH53" s="92"/>
      <c r="BI53" s="92"/>
      <c r="BJ53" s="91"/>
      <c r="BK53" s="92"/>
      <c r="BL53" s="92"/>
      <c r="BM53" s="92"/>
      <c r="BN53" s="91"/>
      <c r="BO53" s="92"/>
      <c r="BP53" s="92"/>
      <c r="BQ53" s="88"/>
      <c r="CV53" s="93"/>
      <c r="CW53" s="99"/>
      <c r="CX53" s="99"/>
      <c r="CY53" s="101"/>
      <c r="CZ53" s="92"/>
      <c r="DA53" s="92"/>
      <c r="DB53" s="91"/>
      <c r="DC53" s="92"/>
      <c r="DD53" s="92"/>
      <c r="DE53" s="92"/>
      <c r="DF53" s="91"/>
      <c r="DG53" s="92"/>
      <c r="DH53" s="92"/>
      <c r="DI53" s="92"/>
      <c r="DJ53" s="91"/>
      <c r="DK53" s="92"/>
      <c r="DL53" s="92"/>
      <c r="DN53" s="89"/>
      <c r="DP53" s="88"/>
      <c r="FK53" s="93"/>
      <c r="FL53" s="92"/>
      <c r="FM53" s="92"/>
      <c r="FN53" s="91"/>
      <c r="FO53" s="92"/>
      <c r="FP53" s="92"/>
      <c r="FQ53" s="92"/>
      <c r="FR53" s="91"/>
      <c r="FS53" s="92"/>
      <c r="FT53" s="92"/>
      <c r="FU53" s="92"/>
      <c r="FV53" s="91"/>
      <c r="FW53" s="92"/>
      <c r="FX53" s="92"/>
      <c r="FY53" s="92"/>
      <c r="FZ53" s="91"/>
      <c r="GA53" s="92"/>
      <c r="GB53" s="98"/>
      <c r="GC53" s="100"/>
    </row>
    <row r="54" spans="1:501" s="71" customFormat="1" ht="9.75" customHeight="1" thickBot="1" x14ac:dyDescent="0.25">
      <c r="A54" s="6">
        <v>13.3</v>
      </c>
      <c r="B54" s="103"/>
      <c r="C54" s="92"/>
      <c r="D54" s="101"/>
      <c r="E54" s="99"/>
      <c r="F54" s="92"/>
      <c r="G54" s="91"/>
      <c r="H54" s="92"/>
      <c r="I54" s="92"/>
      <c r="J54" s="92"/>
      <c r="K54" s="91"/>
      <c r="L54" s="92"/>
      <c r="M54" s="92"/>
      <c r="N54" s="92"/>
      <c r="O54" s="91"/>
      <c r="P54" s="92"/>
      <c r="Q54" s="92"/>
      <c r="R54" s="88"/>
      <c r="AW54" s="93"/>
      <c r="AX54" s="99"/>
      <c r="AY54" s="99"/>
      <c r="AZ54" s="101"/>
      <c r="BA54" s="92"/>
      <c r="BB54" s="92"/>
      <c r="BC54" s="91"/>
      <c r="BD54" s="92"/>
      <c r="BE54" s="92"/>
      <c r="BF54" s="92"/>
      <c r="BG54" s="91"/>
      <c r="BH54" s="92"/>
      <c r="BI54" s="92"/>
      <c r="BJ54" s="92"/>
      <c r="BK54" s="91"/>
      <c r="BL54" s="92"/>
      <c r="BM54" s="92"/>
      <c r="BO54" s="89"/>
      <c r="BQ54" s="88"/>
      <c r="CV54" s="93"/>
      <c r="CW54" s="92"/>
      <c r="CX54" s="92"/>
      <c r="CY54" s="91"/>
      <c r="CZ54" s="92"/>
      <c r="DA54" s="92"/>
      <c r="DB54" s="92"/>
      <c r="DC54" s="91"/>
      <c r="DD54" s="92"/>
      <c r="DE54" s="92"/>
      <c r="DF54" s="92"/>
      <c r="DG54" s="91"/>
      <c r="DH54" s="92"/>
      <c r="DI54" s="92"/>
      <c r="DJ54" s="92"/>
      <c r="DK54" s="91"/>
      <c r="DL54" s="92"/>
      <c r="DM54" s="98"/>
      <c r="DN54" s="99"/>
      <c r="DO54" s="99"/>
      <c r="DP54" s="88"/>
      <c r="FK54" s="93"/>
      <c r="FL54" s="92"/>
      <c r="FM54" s="92"/>
      <c r="FN54" s="92"/>
      <c r="FO54" s="91"/>
      <c r="FP54" s="92"/>
      <c r="FQ54" s="92"/>
      <c r="FR54" s="92"/>
      <c r="FS54" s="91"/>
      <c r="FT54" s="92"/>
      <c r="FU54" s="92"/>
      <c r="FV54" s="92"/>
      <c r="FW54" s="91"/>
      <c r="FX54" s="92"/>
      <c r="FY54" s="92"/>
      <c r="FZ54" s="92"/>
      <c r="GA54" s="91"/>
      <c r="GB54" s="92"/>
      <c r="GC54" s="94"/>
    </row>
    <row r="55" spans="1:501" s="71" customFormat="1" ht="9.75" customHeight="1" thickBot="1" x14ac:dyDescent="0.25">
      <c r="A55" s="6">
        <v>6.7</v>
      </c>
      <c r="B55" s="103"/>
      <c r="C55" s="95"/>
      <c r="D55" s="92"/>
      <c r="E55" s="92"/>
      <c r="F55" s="92"/>
      <c r="G55" s="92"/>
      <c r="H55" s="91"/>
      <c r="I55" s="92"/>
      <c r="J55" s="92"/>
      <c r="K55" s="92"/>
      <c r="L55" s="91"/>
      <c r="M55" s="92"/>
      <c r="N55" s="92"/>
      <c r="O55" s="92"/>
      <c r="P55" s="91"/>
      <c r="Q55" s="92"/>
      <c r="R55" s="111"/>
      <c r="S55" s="90"/>
      <c r="T55" s="90"/>
      <c r="U55" s="90"/>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113"/>
      <c r="AX55" s="92"/>
      <c r="AY55" s="92"/>
      <c r="AZ55" s="91"/>
      <c r="BA55" s="92"/>
      <c r="BB55" s="92"/>
      <c r="BC55" s="92"/>
      <c r="BD55" s="91"/>
      <c r="BE55" s="92"/>
      <c r="BF55" s="92"/>
      <c r="BG55" s="92"/>
      <c r="BH55" s="91"/>
      <c r="BI55" s="92"/>
      <c r="BJ55" s="92"/>
      <c r="BK55" s="92"/>
      <c r="BL55" s="91"/>
      <c r="BM55" s="92"/>
      <c r="BN55" s="98"/>
      <c r="BO55" s="99"/>
      <c r="BP55" s="99"/>
      <c r="BQ55" s="111"/>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113"/>
      <c r="CW55" s="92"/>
      <c r="CX55" s="92"/>
      <c r="CY55" s="92"/>
      <c r="CZ55" s="91"/>
      <c r="DA55" s="92"/>
      <c r="DB55" s="92"/>
      <c r="DC55" s="92"/>
      <c r="DD55" s="91"/>
      <c r="DE55" s="92"/>
      <c r="DF55" s="92"/>
      <c r="DG55" s="92"/>
      <c r="DH55" s="91"/>
      <c r="DI55" s="92"/>
      <c r="DJ55" s="92"/>
      <c r="DK55" s="92"/>
      <c r="DL55" s="91"/>
      <c r="DM55" s="92"/>
      <c r="DN55" s="92"/>
      <c r="DO55" s="92"/>
      <c r="DP55" s="111"/>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113"/>
      <c r="FL55" s="92"/>
      <c r="FM55" s="92"/>
      <c r="FN55" s="92"/>
      <c r="FO55" s="92"/>
      <c r="FP55" s="91"/>
      <c r="FQ55" s="92"/>
      <c r="FR55" s="92"/>
      <c r="FS55" s="92"/>
      <c r="FT55" s="91"/>
      <c r="FU55" s="92"/>
      <c r="FV55" s="92"/>
      <c r="FW55" s="92"/>
      <c r="FX55" s="91"/>
      <c r="FY55" s="92"/>
      <c r="FZ55" s="92"/>
      <c r="GA55" s="92"/>
      <c r="GB55" s="91"/>
      <c r="GC55" s="94"/>
    </row>
    <row r="56" spans="1:501" ht="33.75" customHeight="1" x14ac:dyDescent="0.25">
      <c r="B56" s="4">
        <v>6</v>
      </c>
      <c r="C56" s="4">
        <v>12</v>
      </c>
      <c r="D56" s="4">
        <v>18</v>
      </c>
      <c r="E56" s="4">
        <v>24</v>
      </c>
      <c r="F56" s="4">
        <v>30</v>
      </c>
      <c r="G56" s="4">
        <v>36</v>
      </c>
      <c r="H56" s="4">
        <v>42</v>
      </c>
      <c r="I56" s="4">
        <v>48</v>
      </c>
      <c r="J56" s="4">
        <v>54</v>
      </c>
      <c r="K56" s="4">
        <v>60</v>
      </c>
      <c r="L56" s="4">
        <v>66</v>
      </c>
      <c r="M56" s="4">
        <v>72</v>
      </c>
      <c r="N56" s="4">
        <v>78</v>
      </c>
      <c r="O56" s="4">
        <v>84</v>
      </c>
      <c r="P56" s="4">
        <v>90</v>
      </c>
      <c r="Q56" s="4">
        <v>96</v>
      </c>
      <c r="R56" s="4">
        <v>102</v>
      </c>
      <c r="S56" s="4">
        <v>108</v>
      </c>
      <c r="T56" s="4">
        <v>114</v>
      </c>
      <c r="U56" s="4">
        <v>120</v>
      </c>
      <c r="V56" s="4">
        <v>126</v>
      </c>
      <c r="W56" s="4">
        <v>132</v>
      </c>
      <c r="X56" s="4">
        <v>138</v>
      </c>
      <c r="Y56" s="4">
        <v>144</v>
      </c>
      <c r="Z56" s="4">
        <v>150</v>
      </c>
      <c r="AA56" s="4">
        <v>156</v>
      </c>
      <c r="AB56" s="4">
        <v>162</v>
      </c>
      <c r="AC56" s="4">
        <v>168</v>
      </c>
      <c r="AD56" s="4">
        <v>174</v>
      </c>
      <c r="AE56" s="4">
        <v>180</v>
      </c>
      <c r="AF56" s="4">
        <v>186</v>
      </c>
      <c r="AG56" s="4">
        <v>192</v>
      </c>
      <c r="AH56" s="4">
        <v>198</v>
      </c>
      <c r="AI56" s="4">
        <v>204</v>
      </c>
      <c r="AJ56" s="4">
        <v>210</v>
      </c>
      <c r="AK56" s="4">
        <v>216</v>
      </c>
      <c r="AL56" s="4">
        <v>222</v>
      </c>
      <c r="AM56" s="4">
        <v>228</v>
      </c>
      <c r="AN56" s="4">
        <v>234</v>
      </c>
      <c r="AO56" s="4">
        <v>240</v>
      </c>
      <c r="AP56" s="4">
        <v>246</v>
      </c>
      <c r="AQ56" s="4">
        <v>252</v>
      </c>
      <c r="AR56" s="4">
        <v>258</v>
      </c>
      <c r="AS56" s="4">
        <v>264</v>
      </c>
      <c r="AT56" s="4">
        <v>270</v>
      </c>
      <c r="AU56" s="4">
        <v>276</v>
      </c>
      <c r="AV56" s="4">
        <v>282</v>
      </c>
      <c r="AW56" s="4">
        <v>288</v>
      </c>
      <c r="AX56" s="4">
        <v>294</v>
      </c>
      <c r="AY56" s="4">
        <v>300</v>
      </c>
      <c r="AZ56" s="4">
        <v>306</v>
      </c>
      <c r="BA56" s="4">
        <v>312</v>
      </c>
      <c r="BB56" s="4">
        <v>318</v>
      </c>
      <c r="BC56" s="4">
        <v>324</v>
      </c>
      <c r="BD56" s="4">
        <v>330</v>
      </c>
      <c r="BE56" s="4">
        <v>336</v>
      </c>
      <c r="BF56" s="4">
        <v>342</v>
      </c>
      <c r="BG56" s="4">
        <v>348</v>
      </c>
      <c r="BH56" s="4">
        <v>354</v>
      </c>
      <c r="BI56" s="4">
        <v>360</v>
      </c>
      <c r="BJ56" s="4">
        <v>366</v>
      </c>
      <c r="BK56" s="4">
        <v>372</v>
      </c>
      <c r="BL56" s="4">
        <v>378</v>
      </c>
      <c r="BM56" s="4">
        <v>384</v>
      </c>
      <c r="BN56" s="4">
        <v>390</v>
      </c>
      <c r="BO56" s="4">
        <v>396</v>
      </c>
      <c r="BP56" s="4">
        <v>402</v>
      </c>
      <c r="BQ56" s="4">
        <v>408</v>
      </c>
      <c r="BR56" s="4">
        <v>414</v>
      </c>
      <c r="BS56" s="4">
        <v>420</v>
      </c>
      <c r="BT56" s="4">
        <v>426</v>
      </c>
      <c r="BU56" s="4">
        <v>432</v>
      </c>
      <c r="BV56" s="4">
        <v>438</v>
      </c>
      <c r="BW56" s="4">
        <v>444</v>
      </c>
      <c r="BX56" s="4">
        <v>450</v>
      </c>
      <c r="BY56" s="4">
        <v>456</v>
      </c>
      <c r="BZ56" s="4">
        <v>462</v>
      </c>
      <c r="CA56" s="4">
        <v>468</v>
      </c>
      <c r="CB56" s="4">
        <v>474</v>
      </c>
      <c r="CC56" s="4">
        <v>480</v>
      </c>
      <c r="CD56" s="4">
        <v>486</v>
      </c>
      <c r="CE56" s="4">
        <v>492</v>
      </c>
      <c r="CF56" s="4">
        <v>498</v>
      </c>
      <c r="CG56" s="4">
        <v>504</v>
      </c>
      <c r="CH56" s="4">
        <v>510</v>
      </c>
      <c r="CI56" s="4">
        <v>516</v>
      </c>
      <c r="CJ56" s="4">
        <v>522</v>
      </c>
      <c r="CK56" s="4">
        <v>528</v>
      </c>
      <c r="CL56" s="4">
        <v>534</v>
      </c>
      <c r="CM56" s="4">
        <v>540</v>
      </c>
      <c r="CN56" s="4">
        <v>546</v>
      </c>
      <c r="CO56" s="4">
        <v>552</v>
      </c>
      <c r="CP56" s="4">
        <v>558</v>
      </c>
      <c r="CQ56" s="4">
        <v>564</v>
      </c>
      <c r="CR56" s="4">
        <v>570</v>
      </c>
      <c r="CS56" s="4">
        <v>576</v>
      </c>
      <c r="CT56" s="4">
        <v>582</v>
      </c>
      <c r="CU56" s="4">
        <v>588</v>
      </c>
      <c r="CV56" s="4">
        <v>594</v>
      </c>
      <c r="CW56" s="4">
        <v>600</v>
      </c>
      <c r="CX56" s="4">
        <v>606</v>
      </c>
      <c r="CY56" s="4">
        <v>612</v>
      </c>
      <c r="CZ56" s="4">
        <v>618</v>
      </c>
      <c r="DA56" s="4">
        <v>624</v>
      </c>
      <c r="DB56" s="4">
        <v>630</v>
      </c>
      <c r="DC56" s="4">
        <v>636</v>
      </c>
      <c r="DD56" s="4">
        <v>642</v>
      </c>
      <c r="DE56" s="4">
        <v>648</v>
      </c>
      <c r="DF56" s="4">
        <v>654</v>
      </c>
      <c r="DG56" s="4">
        <v>660</v>
      </c>
      <c r="DH56" s="4">
        <v>666</v>
      </c>
      <c r="DI56" s="4">
        <v>672</v>
      </c>
      <c r="DJ56" s="4">
        <v>678</v>
      </c>
      <c r="DK56" s="4">
        <v>684</v>
      </c>
      <c r="DL56" s="4">
        <v>690</v>
      </c>
      <c r="DM56" s="4">
        <v>696</v>
      </c>
      <c r="DN56" s="4">
        <v>702</v>
      </c>
      <c r="DO56" s="4">
        <v>708</v>
      </c>
      <c r="DP56" s="4">
        <v>714</v>
      </c>
      <c r="DQ56" s="4">
        <v>720</v>
      </c>
      <c r="DR56" s="4">
        <v>726</v>
      </c>
      <c r="DS56" s="4">
        <v>732</v>
      </c>
      <c r="DT56" s="4">
        <v>738</v>
      </c>
      <c r="DU56" s="4">
        <v>744</v>
      </c>
      <c r="DV56" s="4">
        <v>750</v>
      </c>
      <c r="DW56" s="4">
        <v>756</v>
      </c>
      <c r="DX56" s="4">
        <v>762</v>
      </c>
      <c r="DY56" s="4">
        <v>768</v>
      </c>
      <c r="DZ56" s="4">
        <v>774</v>
      </c>
      <c r="EA56" s="4">
        <v>780</v>
      </c>
      <c r="EB56" s="4">
        <v>786</v>
      </c>
      <c r="EC56" s="4">
        <v>792</v>
      </c>
      <c r="ED56" s="4">
        <v>798</v>
      </c>
      <c r="EE56" s="4">
        <v>804</v>
      </c>
      <c r="EF56" s="4">
        <v>810</v>
      </c>
      <c r="EG56" s="4">
        <v>816</v>
      </c>
      <c r="EH56" s="4">
        <v>822</v>
      </c>
      <c r="EI56" s="4">
        <v>828</v>
      </c>
      <c r="EJ56" s="4">
        <v>834</v>
      </c>
      <c r="EK56" s="4">
        <v>840</v>
      </c>
      <c r="EL56" s="4">
        <v>846</v>
      </c>
      <c r="EM56" s="4">
        <v>852</v>
      </c>
      <c r="EN56" s="4">
        <v>858</v>
      </c>
      <c r="EO56" s="4">
        <v>864</v>
      </c>
      <c r="EP56" s="4">
        <v>870</v>
      </c>
      <c r="EQ56" s="4">
        <v>876</v>
      </c>
      <c r="ER56" s="4">
        <v>882</v>
      </c>
      <c r="ES56" s="4">
        <v>888</v>
      </c>
      <c r="ET56" s="4">
        <v>894</v>
      </c>
      <c r="EU56" s="4">
        <v>900</v>
      </c>
      <c r="EV56" s="4">
        <v>906</v>
      </c>
      <c r="EW56" s="4">
        <v>912</v>
      </c>
      <c r="EX56" s="4">
        <v>918</v>
      </c>
      <c r="EY56" s="4">
        <v>924</v>
      </c>
      <c r="EZ56" s="4">
        <v>930</v>
      </c>
      <c r="FA56" s="4">
        <v>936</v>
      </c>
      <c r="FB56" s="4">
        <v>942</v>
      </c>
      <c r="FC56" s="4">
        <v>948</v>
      </c>
      <c r="FD56" s="4">
        <v>954</v>
      </c>
      <c r="FE56" s="4">
        <v>960</v>
      </c>
      <c r="FF56" s="4">
        <v>966</v>
      </c>
      <c r="FG56" s="4">
        <v>972</v>
      </c>
      <c r="FH56" s="4">
        <v>978</v>
      </c>
      <c r="FI56" s="4">
        <v>984</v>
      </c>
      <c r="FJ56" s="4">
        <v>990</v>
      </c>
      <c r="FK56" s="4">
        <v>996</v>
      </c>
      <c r="FL56" s="4">
        <v>1002</v>
      </c>
      <c r="FM56" s="4">
        <v>1008</v>
      </c>
      <c r="FN56" s="4">
        <v>1014</v>
      </c>
      <c r="FO56" s="4">
        <v>1020</v>
      </c>
      <c r="FP56" s="4">
        <v>1026</v>
      </c>
      <c r="FQ56" s="4">
        <v>1032</v>
      </c>
      <c r="FR56" s="4">
        <v>1038</v>
      </c>
      <c r="FS56" s="4">
        <v>1044</v>
      </c>
      <c r="FT56" s="4">
        <v>1050</v>
      </c>
      <c r="FU56" s="4">
        <v>1056</v>
      </c>
      <c r="FV56" s="4">
        <v>1062</v>
      </c>
      <c r="FW56" s="4">
        <v>1068</v>
      </c>
      <c r="FX56" s="4">
        <v>1074</v>
      </c>
      <c r="FY56" s="4">
        <v>1080</v>
      </c>
      <c r="FZ56" s="4">
        <v>1086</v>
      </c>
      <c r="GA56" s="4">
        <v>1092</v>
      </c>
      <c r="GB56" s="4">
        <v>1098</v>
      </c>
      <c r="GC56" s="4">
        <v>1104</v>
      </c>
      <c r="GD56" s="4">
        <v>1110</v>
      </c>
      <c r="GE56" s="4">
        <v>1116</v>
      </c>
      <c r="GF56" s="4">
        <v>1122</v>
      </c>
      <c r="GG56" s="4">
        <v>1128</v>
      </c>
      <c r="GH56" s="4">
        <v>1134</v>
      </c>
      <c r="GI56" s="4">
        <v>1140</v>
      </c>
      <c r="GJ56" s="4">
        <v>1146</v>
      </c>
      <c r="GK56" s="4">
        <v>1152</v>
      </c>
      <c r="GL56" s="4">
        <v>1158</v>
      </c>
      <c r="GM56" s="4">
        <v>1164</v>
      </c>
      <c r="GN56" s="4">
        <v>1170</v>
      </c>
      <c r="GO56" s="4">
        <v>1176</v>
      </c>
      <c r="GP56" s="4">
        <v>1182</v>
      </c>
      <c r="GQ56" s="4">
        <v>1188</v>
      </c>
      <c r="GR56" s="4">
        <v>1194</v>
      </c>
      <c r="GS56" s="4">
        <v>1200</v>
      </c>
      <c r="GT56" s="4">
        <v>1206</v>
      </c>
      <c r="GU56" s="4">
        <v>1212</v>
      </c>
      <c r="GV56" s="4">
        <v>1218</v>
      </c>
      <c r="GW56" s="4">
        <v>1224</v>
      </c>
      <c r="GX56" s="4">
        <v>1230</v>
      </c>
      <c r="GY56" s="4">
        <v>1236</v>
      </c>
      <c r="GZ56" s="4">
        <v>1242</v>
      </c>
      <c r="HA56" s="4">
        <v>1248</v>
      </c>
      <c r="HB56" s="4">
        <v>1254</v>
      </c>
      <c r="HC56" s="4">
        <v>1260</v>
      </c>
      <c r="HD56" s="4">
        <v>1266</v>
      </c>
      <c r="HE56" s="4">
        <v>1272</v>
      </c>
      <c r="HF56" s="4">
        <v>1278</v>
      </c>
      <c r="HG56" s="4">
        <v>1284</v>
      </c>
      <c r="HH56" s="4">
        <v>1290</v>
      </c>
      <c r="HI56" s="4">
        <v>1296</v>
      </c>
      <c r="HJ56" s="4">
        <v>1302</v>
      </c>
      <c r="HK56" s="4">
        <v>1308</v>
      </c>
      <c r="HL56" s="4">
        <v>1314</v>
      </c>
      <c r="HM56" s="4">
        <v>1320</v>
      </c>
      <c r="HN56" s="4">
        <v>1326</v>
      </c>
      <c r="HO56" s="4">
        <v>1332</v>
      </c>
      <c r="HP56" s="4">
        <v>1338</v>
      </c>
      <c r="HQ56" s="4">
        <v>1344</v>
      </c>
      <c r="HR56" s="4">
        <v>1350</v>
      </c>
      <c r="HS56" s="4">
        <v>1356</v>
      </c>
      <c r="HT56" s="4">
        <v>1362</v>
      </c>
      <c r="HU56" s="4">
        <v>1368</v>
      </c>
      <c r="HV56" s="4">
        <v>1374</v>
      </c>
      <c r="HW56" s="4">
        <v>1380</v>
      </c>
      <c r="HX56" s="4">
        <v>1386</v>
      </c>
      <c r="HY56" s="4">
        <v>1392</v>
      </c>
      <c r="HZ56" s="4">
        <v>1398</v>
      </c>
      <c r="IA56" s="4">
        <v>1404</v>
      </c>
      <c r="IB56" s="4">
        <v>1410</v>
      </c>
      <c r="IC56" s="4">
        <v>1416</v>
      </c>
      <c r="ID56" s="4">
        <v>1422</v>
      </c>
      <c r="IE56" s="4">
        <v>1428</v>
      </c>
      <c r="IF56" s="4">
        <v>1434</v>
      </c>
      <c r="IG56" s="4">
        <v>1440</v>
      </c>
      <c r="IH56" s="4">
        <v>1446</v>
      </c>
      <c r="II56" s="4">
        <v>1452</v>
      </c>
      <c r="IJ56" s="4">
        <v>1458</v>
      </c>
      <c r="IK56" s="4">
        <v>1464</v>
      </c>
      <c r="IL56" s="4">
        <v>1470</v>
      </c>
      <c r="IM56" s="4">
        <v>1476</v>
      </c>
      <c r="IN56" s="4">
        <v>1482</v>
      </c>
      <c r="IO56" s="4">
        <v>1488</v>
      </c>
      <c r="IP56" s="4">
        <v>1494</v>
      </c>
      <c r="IQ56" s="4">
        <v>1500</v>
      </c>
      <c r="IR56" s="4">
        <v>1506</v>
      </c>
      <c r="IS56" s="4">
        <v>1512</v>
      </c>
      <c r="IT56" s="4">
        <v>1518</v>
      </c>
      <c r="IU56" s="4">
        <v>1524</v>
      </c>
      <c r="IV56" s="4">
        <v>1530</v>
      </c>
      <c r="IW56" s="4">
        <v>1536</v>
      </c>
      <c r="IX56" s="4">
        <v>1542</v>
      </c>
      <c r="IY56" s="4">
        <v>1548</v>
      </c>
      <c r="IZ56" s="4">
        <v>1554</v>
      </c>
      <c r="JA56" s="4">
        <v>1560</v>
      </c>
      <c r="JB56" s="4">
        <v>1566</v>
      </c>
      <c r="JC56" s="4">
        <v>1572</v>
      </c>
      <c r="JD56" s="4">
        <v>1578</v>
      </c>
      <c r="JE56" s="4">
        <v>1584</v>
      </c>
      <c r="JF56" s="4">
        <v>1590</v>
      </c>
      <c r="JG56" s="4">
        <v>1596</v>
      </c>
      <c r="JH56" s="4">
        <v>1602</v>
      </c>
      <c r="JI56" s="4">
        <v>1608</v>
      </c>
      <c r="JJ56" s="4">
        <v>1614</v>
      </c>
      <c r="JK56" s="4">
        <v>1620</v>
      </c>
      <c r="JL56" s="4">
        <v>1626</v>
      </c>
      <c r="JM56" s="4">
        <v>1632</v>
      </c>
      <c r="JN56" s="4">
        <v>1638</v>
      </c>
      <c r="JO56" s="4">
        <v>1644</v>
      </c>
      <c r="JP56" s="4">
        <v>1650</v>
      </c>
      <c r="JQ56" s="4">
        <v>1656</v>
      </c>
      <c r="JR56" s="4">
        <v>1662</v>
      </c>
      <c r="JS56" s="4">
        <v>1668</v>
      </c>
      <c r="JT56" s="4">
        <v>1674</v>
      </c>
      <c r="JU56" s="4">
        <v>1680</v>
      </c>
      <c r="JV56" s="4">
        <v>1686</v>
      </c>
      <c r="JW56" s="4">
        <v>1692</v>
      </c>
      <c r="JX56" s="4">
        <v>1698</v>
      </c>
      <c r="JY56" s="4">
        <v>1704</v>
      </c>
      <c r="JZ56" s="4">
        <v>1710</v>
      </c>
      <c r="KA56" s="4">
        <v>1716</v>
      </c>
      <c r="KB56" s="4">
        <v>1722</v>
      </c>
      <c r="KC56" s="4">
        <v>1728</v>
      </c>
      <c r="KD56" s="4">
        <v>1734</v>
      </c>
      <c r="KE56" s="4">
        <v>1740</v>
      </c>
      <c r="KF56" s="4">
        <v>1746</v>
      </c>
      <c r="KG56" s="4">
        <v>1752</v>
      </c>
      <c r="KH56" s="4">
        <v>1758</v>
      </c>
      <c r="KI56" s="4">
        <v>1764</v>
      </c>
      <c r="KJ56" s="4">
        <v>1770</v>
      </c>
      <c r="KK56" s="4">
        <v>1776</v>
      </c>
      <c r="KL56" s="4">
        <v>1782</v>
      </c>
      <c r="KM56" s="4">
        <v>1788</v>
      </c>
      <c r="KN56" s="4">
        <v>1794</v>
      </c>
      <c r="KO56" s="4">
        <v>1800</v>
      </c>
      <c r="KP56" s="4">
        <v>1806</v>
      </c>
      <c r="KQ56" s="4">
        <v>1812</v>
      </c>
      <c r="KR56" s="4">
        <v>1818</v>
      </c>
      <c r="KS56" s="4">
        <v>1824</v>
      </c>
      <c r="KT56" s="4">
        <v>1830</v>
      </c>
      <c r="KU56" s="4">
        <v>1836</v>
      </c>
      <c r="KV56" s="4">
        <v>1842</v>
      </c>
      <c r="KW56" s="4">
        <v>1848</v>
      </c>
      <c r="KX56" s="4">
        <v>1854</v>
      </c>
      <c r="KY56" s="4">
        <v>1860</v>
      </c>
      <c r="KZ56" s="4">
        <v>1866</v>
      </c>
      <c r="LA56" s="4">
        <v>1872</v>
      </c>
      <c r="LB56" s="4">
        <v>1878</v>
      </c>
      <c r="LC56" s="4">
        <v>1884</v>
      </c>
      <c r="LD56" s="4">
        <v>1890</v>
      </c>
      <c r="LE56" s="4">
        <v>1896</v>
      </c>
      <c r="LF56" s="4">
        <v>1902</v>
      </c>
      <c r="LG56" s="4">
        <v>1908</v>
      </c>
      <c r="LH56" s="4">
        <v>1914</v>
      </c>
      <c r="LI56" s="4">
        <v>1920</v>
      </c>
      <c r="LJ56" s="4">
        <v>1926</v>
      </c>
      <c r="LK56" s="4">
        <v>1932</v>
      </c>
      <c r="LL56" s="4">
        <v>1938</v>
      </c>
      <c r="LM56" s="4">
        <v>1944</v>
      </c>
      <c r="LN56" s="4">
        <v>1950</v>
      </c>
      <c r="LO56" s="4">
        <v>1956</v>
      </c>
      <c r="LP56" s="4">
        <v>1962</v>
      </c>
      <c r="LQ56" s="4">
        <v>1968</v>
      </c>
      <c r="LR56" s="4">
        <v>1974</v>
      </c>
      <c r="LS56" s="4">
        <v>1980</v>
      </c>
      <c r="LT56" s="4">
        <v>1986</v>
      </c>
      <c r="LU56" s="4">
        <v>1992</v>
      </c>
      <c r="LV56" s="4">
        <v>1998</v>
      </c>
      <c r="LW56" s="4">
        <v>2004</v>
      </c>
      <c r="LX56" s="4">
        <v>2010</v>
      </c>
      <c r="LY56" s="4">
        <v>2016</v>
      </c>
      <c r="LZ56" s="4">
        <v>2022</v>
      </c>
      <c r="MA56" s="4">
        <v>2028</v>
      </c>
      <c r="MB56" s="4">
        <v>2034</v>
      </c>
      <c r="MC56" s="4">
        <v>2040</v>
      </c>
      <c r="MD56" s="4">
        <v>2046</v>
      </c>
      <c r="ME56" s="4">
        <v>2052</v>
      </c>
      <c r="MF56" s="4">
        <v>2058</v>
      </c>
      <c r="MG56" s="4">
        <v>2064</v>
      </c>
      <c r="MH56" s="4">
        <v>2070</v>
      </c>
      <c r="MI56" s="4">
        <v>2076</v>
      </c>
      <c r="MJ56" s="4">
        <v>2082</v>
      </c>
      <c r="MK56" s="4">
        <v>2088</v>
      </c>
      <c r="ML56" s="4">
        <v>2094</v>
      </c>
      <c r="MM56" s="4">
        <v>2100</v>
      </c>
      <c r="MN56" s="4">
        <v>2106</v>
      </c>
      <c r="MO56" s="4">
        <v>2112</v>
      </c>
      <c r="MP56" s="4">
        <v>2118</v>
      </c>
      <c r="MQ56" s="4">
        <v>2124</v>
      </c>
      <c r="MR56" s="4">
        <v>2130</v>
      </c>
      <c r="MS56" s="4">
        <v>2136</v>
      </c>
      <c r="MT56" s="4">
        <v>2142</v>
      </c>
      <c r="MU56" s="4">
        <v>2148</v>
      </c>
      <c r="MV56" s="4">
        <v>2154</v>
      </c>
      <c r="MW56" s="4">
        <v>2160</v>
      </c>
      <c r="MX56" s="4">
        <v>2166</v>
      </c>
      <c r="MY56" s="4">
        <v>2172</v>
      </c>
      <c r="MZ56" s="4">
        <v>2178</v>
      </c>
      <c r="NA56" s="4">
        <v>2184</v>
      </c>
      <c r="NB56" s="4">
        <v>2190</v>
      </c>
      <c r="NC56" s="4">
        <v>2196</v>
      </c>
      <c r="ND56" s="4">
        <v>2202</v>
      </c>
      <c r="NE56" s="4">
        <v>2208</v>
      </c>
      <c r="NF56" s="4">
        <v>2214</v>
      </c>
      <c r="NG56" s="4">
        <v>2220</v>
      </c>
      <c r="NH56" s="4">
        <v>2226</v>
      </c>
      <c r="NI56" s="4">
        <v>2232</v>
      </c>
      <c r="NJ56" s="4">
        <v>2238</v>
      </c>
      <c r="NK56" s="4">
        <v>2244</v>
      </c>
      <c r="NL56" s="4">
        <v>2250</v>
      </c>
      <c r="NM56" s="4">
        <v>2256</v>
      </c>
      <c r="NN56" s="4">
        <v>2262</v>
      </c>
      <c r="NO56" s="4">
        <v>2268</v>
      </c>
      <c r="NP56" s="4">
        <v>2274</v>
      </c>
      <c r="NQ56" s="4">
        <v>2280</v>
      </c>
      <c r="NR56" s="4">
        <v>2286</v>
      </c>
      <c r="NS56" s="4">
        <v>2292</v>
      </c>
      <c r="NT56" s="4">
        <v>2298</v>
      </c>
      <c r="NU56" s="4">
        <v>2304</v>
      </c>
      <c r="NV56" s="4">
        <v>2310</v>
      </c>
      <c r="NW56" s="4">
        <v>2316</v>
      </c>
      <c r="NX56" s="4">
        <v>2322</v>
      </c>
      <c r="NY56" s="4">
        <v>2328</v>
      </c>
      <c r="NZ56" s="4">
        <v>2334</v>
      </c>
      <c r="OA56" s="4">
        <v>2340</v>
      </c>
      <c r="OB56" s="4">
        <v>2346</v>
      </c>
      <c r="OC56" s="4">
        <v>2352</v>
      </c>
      <c r="OD56" s="4">
        <v>2358</v>
      </c>
      <c r="OE56" s="4">
        <v>2364</v>
      </c>
      <c r="OF56" s="4">
        <v>2370</v>
      </c>
      <c r="OG56" s="4">
        <v>2376</v>
      </c>
      <c r="OH56" s="4">
        <v>2382</v>
      </c>
      <c r="OI56" s="4">
        <v>2388</v>
      </c>
      <c r="OJ56" s="4">
        <v>2394</v>
      </c>
      <c r="OK56" s="4">
        <v>2400</v>
      </c>
      <c r="OL56" s="4">
        <v>2406</v>
      </c>
      <c r="OM56" s="4">
        <v>2412</v>
      </c>
      <c r="ON56" s="4">
        <v>2418</v>
      </c>
      <c r="OO56" s="4">
        <v>2424</v>
      </c>
      <c r="OP56" s="4">
        <v>2430</v>
      </c>
      <c r="OQ56" s="4">
        <v>2436</v>
      </c>
      <c r="OR56" s="4">
        <v>2442</v>
      </c>
      <c r="OS56" s="4">
        <v>2448</v>
      </c>
      <c r="OT56" s="4">
        <v>2454</v>
      </c>
      <c r="OU56" s="4">
        <v>2460</v>
      </c>
      <c r="OV56" s="4">
        <v>2466</v>
      </c>
      <c r="OW56" s="4">
        <v>2472</v>
      </c>
      <c r="OX56" s="4">
        <v>2478</v>
      </c>
      <c r="OY56" s="4">
        <v>2484</v>
      </c>
      <c r="OZ56" s="4">
        <v>2490</v>
      </c>
      <c r="PA56" s="4">
        <v>2496</v>
      </c>
      <c r="PB56" s="4">
        <v>2502</v>
      </c>
      <c r="PC56" s="4">
        <v>2508</v>
      </c>
      <c r="PD56" s="4">
        <v>2514</v>
      </c>
      <c r="PE56" s="4">
        <v>2520</v>
      </c>
      <c r="PF56" s="4">
        <v>2526</v>
      </c>
      <c r="PG56" s="4">
        <v>2532</v>
      </c>
      <c r="PH56" s="4">
        <v>2538</v>
      </c>
      <c r="PI56" s="4">
        <v>2544</v>
      </c>
      <c r="PJ56" s="4">
        <v>2550</v>
      </c>
      <c r="PK56" s="4">
        <v>2556</v>
      </c>
      <c r="PL56" s="4">
        <v>2562</v>
      </c>
      <c r="PM56" s="4">
        <v>2568</v>
      </c>
      <c r="PN56" s="4">
        <v>2574</v>
      </c>
      <c r="PO56" s="4">
        <v>2580</v>
      </c>
      <c r="PP56" s="4">
        <v>2586</v>
      </c>
      <c r="PQ56" s="4">
        <v>2592</v>
      </c>
      <c r="PR56" s="4">
        <v>2598</v>
      </c>
      <c r="PS56" s="4">
        <v>2604</v>
      </c>
      <c r="PT56" s="4">
        <v>2610</v>
      </c>
      <c r="PU56" s="4">
        <v>2616</v>
      </c>
      <c r="PV56" s="4">
        <v>2622</v>
      </c>
      <c r="PW56" s="4">
        <v>2628</v>
      </c>
      <c r="PX56" s="4">
        <v>2634</v>
      </c>
      <c r="PY56" s="4">
        <v>2640</v>
      </c>
      <c r="PZ56" s="4">
        <v>2646</v>
      </c>
      <c r="QA56" s="4">
        <v>2652</v>
      </c>
      <c r="QB56" s="4">
        <v>2658</v>
      </c>
      <c r="QC56" s="4">
        <v>2664</v>
      </c>
      <c r="QD56" s="4">
        <v>2670</v>
      </c>
      <c r="QE56" s="4">
        <v>2676</v>
      </c>
      <c r="QF56" s="4">
        <v>2682</v>
      </c>
      <c r="QG56" s="4">
        <v>2688</v>
      </c>
      <c r="QH56" s="4">
        <v>2694</v>
      </c>
      <c r="QI56" s="4">
        <v>2700</v>
      </c>
      <c r="QJ56" s="4">
        <v>2706</v>
      </c>
      <c r="QK56" s="4">
        <v>2712</v>
      </c>
      <c r="QL56" s="4">
        <v>2718</v>
      </c>
      <c r="QM56" s="4">
        <v>2724</v>
      </c>
      <c r="QN56" s="4">
        <v>2730</v>
      </c>
      <c r="QO56" s="4">
        <v>2736</v>
      </c>
      <c r="QP56" s="4">
        <v>2742</v>
      </c>
      <c r="QQ56" s="4">
        <v>2748</v>
      </c>
      <c r="QR56" s="4">
        <v>2754</v>
      </c>
      <c r="QS56" s="4">
        <v>2760</v>
      </c>
      <c r="QT56" s="4">
        <v>2766</v>
      </c>
      <c r="QU56" s="4">
        <v>2772</v>
      </c>
      <c r="QV56" s="4">
        <v>2778</v>
      </c>
      <c r="QW56" s="4">
        <v>2784</v>
      </c>
      <c r="QX56" s="4">
        <v>2790</v>
      </c>
      <c r="QY56" s="4">
        <v>2796</v>
      </c>
      <c r="QZ56" s="4">
        <v>2802</v>
      </c>
      <c r="RA56" s="4">
        <v>2808</v>
      </c>
      <c r="RB56" s="4">
        <v>2814</v>
      </c>
      <c r="RC56" s="4">
        <v>2820</v>
      </c>
      <c r="RD56" s="4">
        <v>2826</v>
      </c>
      <c r="RE56" s="4">
        <v>2832</v>
      </c>
      <c r="RF56" s="4">
        <v>2838</v>
      </c>
      <c r="RG56" s="4">
        <v>2844</v>
      </c>
      <c r="RH56" s="4">
        <v>2850</v>
      </c>
      <c r="RI56" s="4">
        <v>2856</v>
      </c>
      <c r="RJ56" s="4">
        <v>2862</v>
      </c>
      <c r="RK56" s="4">
        <v>2868</v>
      </c>
      <c r="RL56" s="4">
        <v>2874</v>
      </c>
      <c r="RM56" s="4">
        <v>2880</v>
      </c>
      <c r="RN56" s="4">
        <v>2886</v>
      </c>
      <c r="RO56" s="4">
        <v>2892</v>
      </c>
      <c r="RP56" s="4">
        <v>2898</v>
      </c>
      <c r="RQ56" s="4">
        <v>2904</v>
      </c>
      <c r="RR56" s="4">
        <v>2910</v>
      </c>
      <c r="RS56" s="4">
        <v>2916</v>
      </c>
      <c r="RT56" s="4">
        <v>2922</v>
      </c>
      <c r="RU56" s="4">
        <v>2928</v>
      </c>
      <c r="RV56" s="4">
        <v>2934</v>
      </c>
      <c r="RW56" s="4">
        <v>2940</v>
      </c>
      <c r="RX56" s="4">
        <v>2946</v>
      </c>
      <c r="RY56" s="4">
        <v>2952</v>
      </c>
      <c r="RZ56" s="4">
        <v>2958</v>
      </c>
      <c r="SA56" s="4">
        <v>2964</v>
      </c>
      <c r="SB56" s="4">
        <v>2970</v>
      </c>
      <c r="SC56" s="4">
        <v>2976</v>
      </c>
      <c r="SD56" s="4">
        <v>2982</v>
      </c>
      <c r="SE56" s="4">
        <v>2988</v>
      </c>
      <c r="SF56" s="4">
        <v>2994</v>
      </c>
      <c r="SG56" s="4">
        <v>3000</v>
      </c>
    </row>
    <row r="57" spans="1:501" ht="11.25" customHeight="1" x14ac:dyDescent="0.25">
      <c r="A57" s="15"/>
      <c r="B57" s="16"/>
      <c r="C57" s="16"/>
      <c r="D57" s="17"/>
      <c r="E57" s="17"/>
      <c r="F57" s="17"/>
      <c r="G57" s="17"/>
      <c r="H57" s="17"/>
      <c r="I57" s="16"/>
      <c r="J57" s="18"/>
    </row>
    <row r="58" spans="1:501" ht="11.25" customHeight="1" x14ac:dyDescent="0.25">
      <c r="A58" s="19"/>
      <c r="B58" s="14"/>
      <c r="C58" s="14"/>
      <c r="D58" s="14"/>
      <c r="E58" s="14"/>
      <c r="F58" s="14"/>
      <c r="G58" s="14"/>
      <c r="H58" s="14"/>
      <c r="I58" s="14"/>
      <c r="J58" s="20"/>
    </row>
    <row r="59" spans="1:501" ht="11.25" customHeight="1" x14ac:dyDescent="0.25">
      <c r="A59" s="19"/>
      <c r="B59" s="14"/>
      <c r="C59" s="14"/>
      <c r="D59" s="14"/>
      <c r="E59" s="14"/>
      <c r="F59" s="14"/>
      <c r="G59" s="14"/>
      <c r="H59" s="14"/>
      <c r="I59" s="14"/>
      <c r="J59" s="20"/>
    </row>
    <row r="60" spans="1:501" ht="11.25" customHeight="1" x14ac:dyDescent="0.25">
      <c r="A60" s="19"/>
      <c r="B60" s="14"/>
      <c r="C60" s="14"/>
      <c r="D60" s="14"/>
      <c r="E60" s="14"/>
      <c r="F60" s="14"/>
      <c r="G60" s="14"/>
      <c r="H60" s="14"/>
      <c r="I60" s="14"/>
      <c r="J60" s="20"/>
    </row>
    <row r="61" spans="1:501" ht="11.25" customHeight="1" x14ac:dyDescent="0.25">
      <c r="A61" s="19"/>
      <c r="B61" s="14"/>
      <c r="C61" s="14"/>
      <c r="D61" s="14"/>
      <c r="E61" s="14"/>
      <c r="F61" s="14"/>
      <c r="G61" s="14"/>
      <c r="H61" s="14"/>
      <c r="I61" s="14"/>
      <c r="J61" s="20"/>
    </row>
    <row r="62" spans="1:501" ht="11.25" customHeight="1" x14ac:dyDescent="0.25">
      <c r="A62" s="19"/>
      <c r="B62" s="14"/>
      <c r="C62" s="14"/>
      <c r="D62" s="14"/>
      <c r="E62" s="14"/>
      <c r="F62" s="14"/>
      <c r="G62" s="14"/>
      <c r="H62" s="14"/>
      <c r="I62" s="14"/>
      <c r="J62" s="20"/>
    </row>
    <row r="63" spans="1:501" ht="11.25" customHeight="1" x14ac:dyDescent="0.25">
      <c r="A63" s="19"/>
      <c r="B63" s="14"/>
      <c r="C63" s="14"/>
      <c r="D63" s="14"/>
      <c r="E63" s="14"/>
      <c r="F63" s="14"/>
      <c r="G63" s="14"/>
      <c r="H63" s="14"/>
      <c r="I63" s="14"/>
      <c r="J63" s="20"/>
    </row>
    <row r="64" spans="1:501" ht="11.25" customHeight="1" x14ac:dyDescent="0.25">
      <c r="A64" s="21"/>
      <c r="B64" s="22"/>
      <c r="C64" s="22"/>
      <c r="D64" s="22"/>
      <c r="E64" s="22"/>
      <c r="F64" s="22"/>
      <c r="G64" s="22"/>
      <c r="H64" s="22"/>
      <c r="I64" s="22"/>
      <c r="J64" s="23"/>
    </row>
    <row r="65" spans="1:1" ht="9.75" customHeight="1" x14ac:dyDescent="0.25">
      <c r="A65" s="70" t="s">
        <v>73</v>
      </c>
    </row>
    <row r="66" spans="1:1" ht="9.75" customHeight="1" x14ac:dyDescent="0.25">
      <c r="A66" s="1">
        <v>49</v>
      </c>
    </row>
    <row r="67" spans="1:1" ht="9.75" customHeight="1" x14ac:dyDescent="0.25">
      <c r="A67" s="1">
        <v>100</v>
      </c>
    </row>
    <row r="68" spans="1:1" ht="9.75" customHeight="1" x14ac:dyDescent="0.25">
      <c r="A68" s="1">
        <v>167</v>
      </c>
    </row>
  </sheetData>
  <pageMargins left="0.23622047244094491" right="0.23622047244094491" top="1.5354330708661419" bottom="0.55118110236220474" header="0.31496062992125984" footer="0.31496062992125984"/>
  <pageSetup paperSize="8" orientation="landscape" r:id="rId1"/>
  <headerFooter>
    <oddHeader>&amp;L&amp;G&amp;REgernsund Tegl - &amp;A</oddHeader>
    <oddFooter>&amp;R&amp;D
&amp;P ud af &amp;N</oddFooter>
  </headerFooter>
  <colBreaks count="1" manualBreakCount="1">
    <brk id="102" max="55"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indtast_vindue">
                <anchor moveWithCells="1" sizeWithCells="1">
                  <from>
                    <xdr:col>0</xdr:col>
                    <xdr:colOff>57150</xdr:colOff>
                    <xdr:row>56</xdr:row>
                    <xdr:rowOff>57150</xdr:rowOff>
                  </from>
                  <to>
                    <xdr:col>9</xdr:col>
                    <xdr:colOff>9525</xdr:colOff>
                    <xdr:row>58</xdr:row>
                    <xdr:rowOff>76200</xdr:rowOff>
                  </to>
                </anchor>
              </controlPr>
            </control>
          </mc:Choice>
        </mc:AlternateContent>
        <mc:AlternateContent xmlns:mc="http://schemas.openxmlformats.org/markup-compatibility/2006">
          <mc:Choice Requires="x14">
            <control shapeId="46082" r:id="rId6" name="Button 2">
              <controlPr defaultSize="0" print="0" autoFill="0" autoPict="0" macro="[0]!lav_pdf">
                <anchor moveWithCells="1" sizeWithCells="1">
                  <from>
                    <xdr:col>0</xdr:col>
                    <xdr:colOff>57150</xdr:colOff>
                    <xdr:row>58</xdr:row>
                    <xdr:rowOff>133350</xdr:rowOff>
                  </from>
                  <to>
                    <xdr:col>9</xdr:col>
                    <xdr:colOff>9525</xdr:colOff>
                    <xdr:row>61</xdr:row>
                    <xdr:rowOff>9525</xdr:rowOff>
                  </to>
                </anchor>
              </controlPr>
            </control>
          </mc:Choice>
        </mc:AlternateContent>
        <mc:AlternateContent xmlns:mc="http://schemas.openxmlformats.org/markup-compatibility/2006">
          <mc:Choice Requires="x14">
            <control shapeId="46083" r:id="rId7" name="Button 3">
              <controlPr defaultSize="0" print="0" autoFill="0" autoPict="0" macro="[0]!lav_pdfer">
                <anchor moveWithCells="1" sizeWithCells="1">
                  <from>
                    <xdr:col>0</xdr:col>
                    <xdr:colOff>57150</xdr:colOff>
                    <xdr:row>61</xdr:row>
                    <xdr:rowOff>66675</xdr:rowOff>
                  </from>
                  <to>
                    <xdr:col>9</xdr:col>
                    <xdr:colOff>9525</xdr:colOff>
                    <xdr:row>63</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2">
    <tabColor rgb="FFFFFF00"/>
  </sheetPr>
  <dimension ref="A1:SG68"/>
  <sheetViews>
    <sheetView showGridLines="0" zoomScale="70" zoomScaleNormal="70" workbookViewId="0"/>
  </sheetViews>
  <sheetFormatPr defaultColWidth="1.7109375" defaultRowHeight="9.75" customHeight="1" x14ac:dyDescent="0.25"/>
  <cols>
    <col min="1" max="1" width="8.5703125" style="1" customWidth="1"/>
    <col min="2" max="185" width="1.7109375" style="2" customWidth="1"/>
    <col min="186" max="501" width="1.7109375" style="2" hidden="1" customWidth="1"/>
    <col min="502" max="502" width="0" style="2" hidden="1" customWidth="1"/>
    <col min="503" max="16384" width="1.7109375" style="2"/>
  </cols>
  <sheetData>
    <row r="1" spans="1:185" ht="30" customHeight="1" x14ac:dyDescent="0.25">
      <c r="B1" s="5" t="s">
        <v>87</v>
      </c>
    </row>
    <row r="2" spans="1:185" s="1" customFormat="1" ht="9.75" customHeight="1" thickBot="1" x14ac:dyDescent="0.25">
      <c r="A2" s="3">
        <v>360</v>
      </c>
      <c r="B2" s="108"/>
      <c r="C2" s="104"/>
      <c r="D2" s="97"/>
      <c r="E2" s="97"/>
      <c r="F2" s="97"/>
      <c r="G2" s="97"/>
      <c r="H2" s="96"/>
      <c r="I2" s="97"/>
      <c r="J2" s="97"/>
      <c r="K2" s="97"/>
      <c r="L2" s="96"/>
      <c r="M2" s="97"/>
      <c r="N2" s="97"/>
      <c r="O2" s="97"/>
      <c r="P2" s="96"/>
      <c r="Q2" s="97"/>
      <c r="R2" s="97"/>
      <c r="S2" s="97"/>
      <c r="T2" s="96"/>
      <c r="U2" s="97"/>
      <c r="V2" s="97"/>
      <c r="W2" s="97"/>
      <c r="X2" s="96"/>
      <c r="Y2" s="97"/>
      <c r="Z2" s="97"/>
      <c r="AA2" s="97"/>
      <c r="AB2" s="96"/>
      <c r="AC2" s="97"/>
      <c r="AD2" s="97"/>
      <c r="AE2" s="97"/>
      <c r="AF2" s="96"/>
      <c r="AG2" s="97"/>
      <c r="AH2" s="97"/>
      <c r="AI2" s="97"/>
      <c r="AJ2" s="96"/>
      <c r="AK2" s="97"/>
      <c r="AL2" s="97"/>
      <c r="AM2" s="97"/>
      <c r="AN2" s="96"/>
      <c r="AO2" s="97"/>
      <c r="AP2" s="97"/>
      <c r="AQ2" s="97"/>
      <c r="AR2" s="96"/>
      <c r="AS2" s="97"/>
      <c r="AT2" s="97"/>
      <c r="AU2" s="97"/>
      <c r="AV2" s="96"/>
      <c r="AW2" s="97"/>
      <c r="AX2" s="97"/>
      <c r="AY2" s="97"/>
      <c r="AZ2" s="96"/>
      <c r="BA2" s="97"/>
      <c r="BB2" s="97"/>
      <c r="BC2" s="97"/>
      <c r="BD2" s="96"/>
      <c r="BE2" s="97"/>
      <c r="BF2" s="97"/>
      <c r="BG2" s="97"/>
      <c r="BH2" s="96"/>
      <c r="BI2" s="97"/>
      <c r="BJ2" s="97"/>
      <c r="BK2" s="97"/>
      <c r="BL2" s="96"/>
      <c r="BM2" s="97"/>
      <c r="BN2" s="97"/>
      <c r="BO2" s="97"/>
      <c r="BP2" s="96"/>
      <c r="BQ2" s="97"/>
      <c r="BR2" s="97"/>
      <c r="BS2" s="97"/>
      <c r="BT2" s="96"/>
      <c r="BU2" s="97"/>
      <c r="BV2" s="97"/>
      <c r="BW2" s="97"/>
      <c r="BX2" s="96"/>
      <c r="BY2" s="97"/>
      <c r="BZ2" s="97"/>
      <c r="CA2" s="97"/>
      <c r="CB2" s="96"/>
      <c r="CC2" s="97"/>
      <c r="CD2" s="97"/>
      <c r="CE2" s="97"/>
      <c r="CF2" s="96"/>
      <c r="CG2" s="97"/>
      <c r="CH2" s="97"/>
      <c r="CI2" s="97"/>
      <c r="CJ2" s="96"/>
      <c r="CK2" s="97"/>
      <c r="CL2" s="97"/>
      <c r="CM2" s="97"/>
      <c r="CN2" s="96"/>
      <c r="CO2" s="97"/>
      <c r="CP2" s="97"/>
      <c r="CQ2" s="97"/>
      <c r="CR2" s="96"/>
      <c r="CS2" s="97"/>
      <c r="CT2" s="97"/>
      <c r="CU2" s="97"/>
      <c r="CV2" s="96"/>
      <c r="CW2" s="97"/>
      <c r="CX2" s="97"/>
      <c r="CY2" s="97"/>
      <c r="CZ2" s="96"/>
      <c r="DA2" s="97"/>
      <c r="DB2" s="97"/>
      <c r="DC2" s="97"/>
      <c r="DD2" s="96"/>
      <c r="DE2" s="97"/>
      <c r="DF2" s="97"/>
      <c r="DG2" s="97"/>
      <c r="DH2" s="96"/>
      <c r="DI2" s="97"/>
      <c r="DJ2" s="97"/>
      <c r="DK2" s="97"/>
      <c r="DL2" s="96"/>
      <c r="DM2" s="97"/>
      <c r="DN2" s="97"/>
      <c r="DO2" s="97"/>
      <c r="DP2" s="96"/>
      <c r="DQ2" s="97"/>
      <c r="DR2" s="97"/>
      <c r="DS2" s="97"/>
      <c r="DT2" s="96"/>
      <c r="DU2" s="97"/>
      <c r="DV2" s="97"/>
      <c r="DW2" s="97"/>
      <c r="DX2" s="96"/>
      <c r="DY2" s="97"/>
      <c r="DZ2" s="97"/>
      <c r="EA2" s="97"/>
      <c r="EB2" s="96"/>
      <c r="EC2" s="97"/>
      <c r="ED2" s="97"/>
      <c r="EE2" s="97"/>
      <c r="EF2" s="96"/>
      <c r="EG2" s="97"/>
      <c r="EH2" s="97"/>
      <c r="EI2" s="97"/>
      <c r="EJ2" s="96"/>
      <c r="EK2" s="97"/>
      <c r="EL2" s="97"/>
      <c r="EM2" s="97"/>
      <c r="EN2" s="96"/>
      <c r="EO2" s="97"/>
      <c r="EP2" s="97"/>
      <c r="EQ2" s="97"/>
      <c r="ER2" s="96"/>
      <c r="ES2" s="97"/>
      <c r="ET2" s="97"/>
      <c r="EU2" s="97"/>
      <c r="EV2" s="96"/>
      <c r="EW2" s="97"/>
      <c r="EX2" s="97"/>
      <c r="EY2" s="97"/>
      <c r="EZ2" s="96"/>
      <c r="FA2" s="97"/>
      <c r="FB2" s="97"/>
      <c r="FC2" s="97"/>
      <c r="FD2" s="96"/>
      <c r="FE2" s="97"/>
      <c r="FF2" s="97"/>
      <c r="FG2" s="97"/>
      <c r="FH2" s="96"/>
      <c r="FI2" s="97"/>
      <c r="FJ2" s="97"/>
      <c r="FK2" s="97"/>
      <c r="FL2" s="96"/>
      <c r="FM2" s="97"/>
      <c r="FN2" s="97"/>
      <c r="FO2" s="97"/>
      <c r="FP2" s="96"/>
      <c r="FQ2" s="97"/>
      <c r="FR2" s="97"/>
      <c r="FS2" s="97"/>
      <c r="FT2" s="96"/>
      <c r="FU2" s="97"/>
      <c r="FV2" s="97"/>
      <c r="FW2" s="97"/>
      <c r="FX2" s="96"/>
      <c r="FY2" s="97"/>
      <c r="FZ2" s="97"/>
      <c r="GA2" s="97"/>
      <c r="GB2" s="96"/>
      <c r="GC2" s="109"/>
    </row>
    <row r="3" spans="1:185" s="1" customFormat="1" ht="9.75" customHeight="1" thickBot="1" x14ac:dyDescent="0.25">
      <c r="A3" s="3">
        <v>353.3</v>
      </c>
      <c r="B3" s="103"/>
      <c r="C3" s="92"/>
      <c r="D3" s="95"/>
      <c r="E3" s="92"/>
      <c r="F3" s="92"/>
      <c r="G3" s="92"/>
      <c r="H3" s="92"/>
      <c r="I3" s="91"/>
      <c r="J3" s="92"/>
      <c r="K3" s="92"/>
      <c r="L3" s="92"/>
      <c r="M3" s="91"/>
      <c r="N3" s="92"/>
      <c r="O3" s="92"/>
      <c r="P3" s="92"/>
      <c r="Q3" s="91"/>
      <c r="R3" s="92"/>
      <c r="S3" s="92"/>
      <c r="T3" s="92"/>
      <c r="U3" s="91"/>
      <c r="V3" s="92"/>
      <c r="W3" s="92"/>
      <c r="X3" s="92"/>
      <c r="Y3" s="91"/>
      <c r="Z3" s="92"/>
      <c r="AA3" s="92"/>
      <c r="AB3" s="92"/>
      <c r="AC3" s="91"/>
      <c r="AD3" s="92"/>
      <c r="AE3" s="92"/>
      <c r="AF3" s="92"/>
      <c r="AG3" s="91"/>
      <c r="AH3" s="92"/>
      <c r="AI3" s="92"/>
      <c r="AJ3" s="92"/>
      <c r="AK3" s="91"/>
      <c r="AL3" s="92"/>
      <c r="AM3" s="92"/>
      <c r="AN3" s="92"/>
      <c r="AO3" s="91"/>
      <c r="AP3" s="92"/>
      <c r="AQ3" s="92"/>
      <c r="AR3" s="92"/>
      <c r="AS3" s="91"/>
      <c r="AT3" s="92"/>
      <c r="AU3" s="92"/>
      <c r="AV3" s="92"/>
      <c r="AW3" s="91"/>
      <c r="AX3" s="92"/>
      <c r="AY3" s="92"/>
      <c r="AZ3" s="92"/>
      <c r="BA3" s="91"/>
      <c r="BB3" s="92"/>
      <c r="BC3" s="92"/>
      <c r="BD3" s="92"/>
      <c r="BE3" s="91"/>
      <c r="BF3" s="92"/>
      <c r="BG3" s="92"/>
      <c r="BH3" s="92"/>
      <c r="BI3" s="91"/>
      <c r="BJ3" s="92"/>
      <c r="BK3" s="92"/>
      <c r="BL3" s="92"/>
      <c r="BM3" s="91"/>
      <c r="BN3" s="92"/>
      <c r="BO3" s="92"/>
      <c r="BP3" s="92"/>
      <c r="BQ3" s="91"/>
      <c r="BR3" s="92"/>
      <c r="BS3" s="92"/>
      <c r="BT3" s="92"/>
      <c r="BU3" s="91"/>
      <c r="BV3" s="92"/>
      <c r="BW3" s="92"/>
      <c r="BX3" s="92"/>
      <c r="BY3" s="91"/>
      <c r="BZ3" s="92"/>
      <c r="CA3" s="92"/>
      <c r="CB3" s="92"/>
      <c r="CC3" s="91"/>
      <c r="CD3" s="92"/>
      <c r="CE3" s="92"/>
      <c r="CF3" s="92"/>
      <c r="CG3" s="91"/>
      <c r="CH3" s="92"/>
      <c r="CI3" s="92"/>
      <c r="CJ3" s="92"/>
      <c r="CK3" s="91"/>
      <c r="CL3" s="92"/>
      <c r="CM3" s="92"/>
      <c r="CN3" s="92"/>
      <c r="CO3" s="91"/>
      <c r="CP3" s="92"/>
      <c r="CQ3" s="92"/>
      <c r="CR3" s="92"/>
      <c r="CS3" s="91"/>
      <c r="CT3" s="92"/>
      <c r="CU3" s="92"/>
      <c r="CV3" s="92"/>
      <c r="CW3" s="91"/>
      <c r="CX3" s="92"/>
      <c r="CY3" s="92"/>
      <c r="CZ3" s="92"/>
      <c r="DA3" s="91"/>
      <c r="DB3" s="92"/>
      <c r="DC3" s="92"/>
      <c r="DD3" s="92"/>
      <c r="DE3" s="91"/>
      <c r="DF3" s="92"/>
      <c r="DG3" s="92"/>
      <c r="DH3" s="92"/>
      <c r="DI3" s="91"/>
      <c r="DJ3" s="92"/>
      <c r="DK3" s="92"/>
      <c r="DL3" s="92"/>
      <c r="DM3" s="91"/>
      <c r="DN3" s="92"/>
      <c r="DO3" s="92"/>
      <c r="DP3" s="92"/>
      <c r="DQ3" s="91"/>
      <c r="DR3" s="92"/>
      <c r="DS3" s="92"/>
      <c r="DT3" s="92"/>
      <c r="DU3" s="91"/>
      <c r="DV3" s="92"/>
      <c r="DW3" s="92"/>
      <c r="DX3" s="92"/>
      <c r="DY3" s="91"/>
      <c r="DZ3" s="92"/>
      <c r="EA3" s="92"/>
      <c r="EB3" s="92"/>
      <c r="EC3" s="91"/>
      <c r="ED3" s="92"/>
      <c r="EE3" s="92"/>
      <c r="EF3" s="92"/>
      <c r="EG3" s="91"/>
      <c r="EH3" s="92"/>
      <c r="EI3" s="92"/>
      <c r="EJ3" s="92"/>
      <c r="EK3" s="91"/>
      <c r="EL3" s="92"/>
      <c r="EM3" s="92"/>
      <c r="EN3" s="92"/>
      <c r="EO3" s="91"/>
      <c r="EP3" s="92"/>
      <c r="EQ3" s="92"/>
      <c r="ER3" s="92"/>
      <c r="ES3" s="91"/>
      <c r="ET3" s="92"/>
      <c r="EU3" s="92"/>
      <c r="EV3" s="92"/>
      <c r="EW3" s="91"/>
      <c r="EX3" s="92"/>
      <c r="EY3" s="92"/>
      <c r="EZ3" s="92"/>
      <c r="FA3" s="91"/>
      <c r="FB3" s="92"/>
      <c r="FC3" s="92"/>
      <c r="FD3" s="92"/>
      <c r="FE3" s="91"/>
      <c r="FF3" s="92"/>
      <c r="FG3" s="92"/>
      <c r="FH3" s="92"/>
      <c r="FI3" s="91"/>
      <c r="FJ3" s="92"/>
      <c r="FK3" s="92"/>
      <c r="FL3" s="92"/>
      <c r="FM3" s="91"/>
      <c r="FN3" s="92"/>
      <c r="FO3" s="92"/>
      <c r="FP3" s="92"/>
      <c r="FQ3" s="91"/>
      <c r="FR3" s="92"/>
      <c r="FS3" s="92"/>
      <c r="FT3" s="92"/>
      <c r="FU3" s="91"/>
      <c r="FV3" s="92"/>
      <c r="FW3" s="92"/>
      <c r="FX3" s="92"/>
      <c r="FY3" s="91"/>
      <c r="FZ3" s="92"/>
      <c r="GA3" s="91"/>
      <c r="GB3" s="92"/>
      <c r="GC3" s="94"/>
    </row>
    <row r="4" spans="1:185" s="1" customFormat="1" ht="9.75" customHeight="1" thickBot="1" x14ac:dyDescent="0.25">
      <c r="A4" s="3">
        <v>346.7</v>
      </c>
      <c r="B4" s="107"/>
      <c r="C4" s="101"/>
      <c r="D4" s="99"/>
      <c r="E4" s="99"/>
      <c r="F4" s="99"/>
      <c r="G4" s="99"/>
      <c r="H4" s="98"/>
      <c r="I4" s="99"/>
      <c r="J4" s="99"/>
      <c r="K4" s="99"/>
      <c r="L4" s="98"/>
      <c r="M4" s="99"/>
      <c r="N4" s="99"/>
      <c r="O4" s="99"/>
      <c r="P4" s="98"/>
      <c r="Q4" s="99"/>
      <c r="R4" s="99"/>
      <c r="S4" s="99"/>
      <c r="T4" s="98"/>
      <c r="U4" s="99"/>
      <c r="V4" s="99"/>
      <c r="W4" s="99"/>
      <c r="X4" s="98"/>
      <c r="Y4" s="99"/>
      <c r="Z4" s="99"/>
      <c r="AA4" s="99"/>
      <c r="AB4" s="98"/>
      <c r="AC4" s="99"/>
      <c r="AD4" s="99"/>
      <c r="AE4" s="99"/>
      <c r="AF4" s="98"/>
      <c r="AG4" s="99"/>
      <c r="AH4" s="99"/>
      <c r="AI4" s="99"/>
      <c r="AJ4" s="98"/>
      <c r="AK4" s="99"/>
      <c r="AL4" s="99"/>
      <c r="AM4" s="99"/>
      <c r="AN4" s="98"/>
      <c r="AO4" s="99"/>
      <c r="AP4" s="99"/>
      <c r="AQ4" s="99"/>
      <c r="AR4" s="98"/>
      <c r="AS4" s="99"/>
      <c r="AT4" s="99"/>
      <c r="AU4" s="99"/>
      <c r="AV4" s="98"/>
      <c r="AW4" s="99"/>
      <c r="AX4" s="99"/>
      <c r="AY4" s="99"/>
      <c r="AZ4" s="98"/>
      <c r="BA4" s="99"/>
      <c r="BB4" s="99"/>
      <c r="BC4" s="99"/>
      <c r="BD4" s="98"/>
      <c r="BE4" s="99"/>
      <c r="BF4" s="99"/>
      <c r="BG4" s="99"/>
      <c r="BH4" s="98"/>
      <c r="BI4" s="99"/>
      <c r="BJ4" s="99"/>
      <c r="BK4" s="99"/>
      <c r="BL4" s="98"/>
      <c r="BM4" s="99"/>
      <c r="BN4" s="99"/>
      <c r="BO4" s="99"/>
      <c r="BP4" s="98"/>
      <c r="BQ4" s="99"/>
      <c r="BR4" s="99"/>
      <c r="BS4" s="99"/>
      <c r="BT4" s="98"/>
      <c r="BU4" s="99"/>
      <c r="BV4" s="99"/>
      <c r="BW4" s="99"/>
      <c r="BX4" s="98"/>
      <c r="BY4" s="99"/>
      <c r="BZ4" s="99"/>
      <c r="CA4" s="99"/>
      <c r="CB4" s="98"/>
      <c r="CC4" s="99"/>
      <c r="CD4" s="99"/>
      <c r="CE4" s="99"/>
      <c r="CF4" s="98"/>
      <c r="CG4" s="99"/>
      <c r="CH4" s="99"/>
      <c r="CI4" s="99"/>
      <c r="CJ4" s="98"/>
      <c r="CK4" s="99"/>
      <c r="CL4" s="99"/>
      <c r="CM4" s="99"/>
      <c r="CN4" s="98"/>
      <c r="CO4" s="99"/>
      <c r="CP4" s="99"/>
      <c r="CQ4" s="99"/>
      <c r="CR4" s="98"/>
      <c r="CS4" s="99"/>
      <c r="CT4" s="99"/>
      <c r="CU4" s="99"/>
      <c r="CV4" s="98"/>
      <c r="CW4" s="99"/>
      <c r="CX4" s="99"/>
      <c r="CY4" s="99"/>
      <c r="CZ4" s="98"/>
      <c r="DA4" s="99"/>
      <c r="DB4" s="99"/>
      <c r="DC4" s="99"/>
      <c r="DD4" s="98"/>
      <c r="DE4" s="99"/>
      <c r="DF4" s="99"/>
      <c r="DG4" s="99"/>
      <c r="DH4" s="98"/>
      <c r="DI4" s="99"/>
      <c r="DJ4" s="99"/>
      <c r="DK4" s="99"/>
      <c r="DL4" s="98"/>
      <c r="DM4" s="99"/>
      <c r="DN4" s="99"/>
      <c r="DO4" s="99"/>
      <c r="DP4" s="98"/>
      <c r="DQ4" s="99"/>
      <c r="DR4" s="99"/>
      <c r="DS4" s="99"/>
      <c r="DT4" s="98"/>
      <c r="DU4" s="99"/>
      <c r="DV4" s="99"/>
      <c r="DW4" s="99"/>
      <c r="DX4" s="98"/>
      <c r="DY4" s="99"/>
      <c r="DZ4" s="99"/>
      <c r="EA4" s="99"/>
      <c r="EB4" s="98"/>
      <c r="EC4" s="99"/>
      <c r="ED4" s="99"/>
      <c r="EE4" s="99"/>
      <c r="EF4" s="98"/>
      <c r="EG4" s="99"/>
      <c r="EH4" s="99"/>
      <c r="EI4" s="99"/>
      <c r="EJ4" s="98"/>
      <c r="EK4" s="99"/>
      <c r="EL4" s="99"/>
      <c r="EM4" s="99"/>
      <c r="EN4" s="98"/>
      <c r="EO4" s="99"/>
      <c r="EP4" s="99"/>
      <c r="EQ4" s="99"/>
      <c r="ER4" s="98"/>
      <c r="ES4" s="99"/>
      <c r="ET4" s="99"/>
      <c r="EU4" s="99"/>
      <c r="EV4" s="98"/>
      <c r="EW4" s="99"/>
      <c r="EX4" s="99"/>
      <c r="EY4" s="99"/>
      <c r="EZ4" s="98"/>
      <c r="FA4" s="99"/>
      <c r="FB4" s="99"/>
      <c r="FC4" s="99"/>
      <c r="FD4" s="98"/>
      <c r="FE4" s="99"/>
      <c r="FF4" s="99"/>
      <c r="FG4" s="99"/>
      <c r="FH4" s="98"/>
      <c r="FI4" s="99"/>
      <c r="FJ4" s="99"/>
      <c r="FK4" s="99"/>
      <c r="FL4" s="98"/>
      <c r="FM4" s="99"/>
      <c r="FN4" s="99"/>
      <c r="FO4" s="99"/>
      <c r="FP4" s="98"/>
      <c r="FQ4" s="99"/>
      <c r="FR4" s="99"/>
      <c r="FS4" s="99"/>
      <c r="FT4" s="98"/>
      <c r="FU4" s="99"/>
      <c r="FV4" s="99"/>
      <c r="FW4" s="99"/>
      <c r="FX4" s="98"/>
      <c r="FY4" s="99"/>
      <c r="FZ4" s="99"/>
      <c r="GA4" s="92"/>
      <c r="GB4" s="91"/>
      <c r="GC4" s="94"/>
    </row>
    <row r="5" spans="1:185" s="1" customFormat="1" ht="9.75" customHeight="1" thickBot="1" x14ac:dyDescent="0.25">
      <c r="A5" s="3">
        <v>340</v>
      </c>
      <c r="B5" s="103"/>
      <c r="C5" s="92"/>
      <c r="D5" s="95"/>
      <c r="E5" s="71"/>
      <c r="F5" s="71"/>
      <c r="G5" s="91"/>
      <c r="H5" s="92"/>
      <c r="I5" s="92"/>
      <c r="J5" s="92"/>
      <c r="K5" s="91"/>
      <c r="L5" s="92"/>
      <c r="M5" s="92"/>
      <c r="N5" s="92"/>
      <c r="O5" s="91"/>
      <c r="P5" s="92"/>
      <c r="Q5" s="92"/>
      <c r="R5" s="92"/>
      <c r="S5" s="91"/>
      <c r="T5" s="92"/>
      <c r="U5" s="92"/>
      <c r="V5" s="92"/>
      <c r="W5" s="91"/>
      <c r="X5" s="92"/>
      <c r="Y5" s="92"/>
      <c r="Z5" s="92"/>
      <c r="AA5" s="91"/>
      <c r="AB5" s="92"/>
      <c r="AC5" s="92"/>
      <c r="AD5" s="92"/>
      <c r="AE5" s="91"/>
      <c r="AF5" s="92"/>
      <c r="AG5" s="92"/>
      <c r="AH5" s="92"/>
      <c r="AI5" s="91"/>
      <c r="AJ5" s="92"/>
      <c r="AK5" s="92"/>
      <c r="AL5" s="92"/>
      <c r="AM5" s="91"/>
      <c r="AN5" s="92"/>
      <c r="AO5" s="92"/>
      <c r="AP5" s="92"/>
      <c r="AQ5" s="91"/>
      <c r="AR5" s="92"/>
      <c r="AS5" s="92"/>
      <c r="AT5" s="92"/>
      <c r="AU5" s="91"/>
      <c r="AV5" s="92"/>
      <c r="AW5" s="92"/>
      <c r="AX5" s="92"/>
      <c r="AY5" s="91"/>
      <c r="AZ5" s="92"/>
      <c r="BA5" s="92"/>
      <c r="BB5" s="92"/>
      <c r="BC5" s="91"/>
      <c r="BD5" s="92"/>
      <c r="BE5" s="92"/>
      <c r="BF5" s="92"/>
      <c r="BG5" s="91"/>
      <c r="BH5" s="92"/>
      <c r="BI5" s="92"/>
      <c r="BJ5" s="92"/>
      <c r="BK5" s="91"/>
      <c r="BL5" s="92"/>
      <c r="BM5" s="92"/>
      <c r="BN5" s="92"/>
      <c r="BO5" s="91"/>
      <c r="BP5" s="92"/>
      <c r="BQ5" s="92"/>
      <c r="BR5" s="92"/>
      <c r="BS5" s="91"/>
      <c r="BT5" s="92"/>
      <c r="BU5" s="92"/>
      <c r="BV5" s="92"/>
      <c r="BW5" s="91"/>
      <c r="BX5" s="92"/>
      <c r="BY5" s="92"/>
      <c r="BZ5" s="92"/>
      <c r="CA5" s="91"/>
      <c r="CB5" s="92"/>
      <c r="CC5" s="92"/>
      <c r="CD5" s="92"/>
      <c r="CE5" s="91"/>
      <c r="CF5" s="92"/>
      <c r="CG5" s="92"/>
      <c r="CH5" s="92"/>
      <c r="CI5" s="91"/>
      <c r="CJ5" s="92"/>
      <c r="CK5" s="92"/>
      <c r="CL5" s="92"/>
      <c r="CM5" s="91"/>
      <c r="CN5" s="92"/>
      <c r="CO5" s="92"/>
      <c r="CP5" s="92"/>
      <c r="CQ5" s="91"/>
      <c r="CR5" s="92"/>
      <c r="CS5" s="92"/>
      <c r="CT5" s="92"/>
      <c r="CU5" s="91"/>
      <c r="CV5" s="92"/>
      <c r="CW5" s="92"/>
      <c r="CX5" s="92"/>
      <c r="CY5" s="91"/>
      <c r="CZ5" s="92"/>
      <c r="DA5" s="92"/>
      <c r="DB5" s="92"/>
      <c r="DC5" s="91"/>
      <c r="DD5" s="92"/>
      <c r="DE5" s="92"/>
      <c r="DF5" s="92"/>
      <c r="DG5" s="91"/>
      <c r="DH5" s="92"/>
      <c r="DI5" s="92"/>
      <c r="DJ5" s="92"/>
      <c r="DK5" s="91"/>
      <c r="DL5" s="92"/>
      <c r="DM5" s="92"/>
      <c r="DN5" s="92"/>
      <c r="DO5" s="91"/>
      <c r="DP5" s="92"/>
      <c r="DQ5" s="92"/>
      <c r="DR5" s="92"/>
      <c r="DS5" s="91"/>
      <c r="DT5" s="92"/>
      <c r="DU5" s="92"/>
      <c r="DV5" s="92"/>
      <c r="DW5" s="91"/>
      <c r="DX5" s="92"/>
      <c r="DY5" s="92"/>
      <c r="DZ5" s="92"/>
      <c r="EA5" s="91"/>
      <c r="EB5" s="92"/>
      <c r="EC5" s="92"/>
      <c r="ED5" s="92"/>
      <c r="EE5" s="91"/>
      <c r="EF5" s="92"/>
      <c r="EG5" s="92"/>
      <c r="EH5" s="92"/>
      <c r="EI5" s="91"/>
      <c r="EJ5" s="92"/>
      <c r="EK5" s="92"/>
      <c r="EL5" s="92"/>
      <c r="EM5" s="91"/>
      <c r="EN5" s="92"/>
      <c r="EO5" s="92"/>
      <c r="EP5" s="92"/>
      <c r="EQ5" s="91"/>
      <c r="ER5" s="92"/>
      <c r="ES5" s="92"/>
      <c r="ET5" s="92"/>
      <c r="EU5" s="91"/>
      <c r="EV5" s="92"/>
      <c r="EW5" s="92"/>
      <c r="EX5" s="92"/>
      <c r="EY5" s="91"/>
      <c r="EZ5" s="92"/>
      <c r="FA5" s="92"/>
      <c r="FB5" s="92"/>
      <c r="FC5" s="91"/>
      <c r="FD5" s="92"/>
      <c r="FE5" s="92"/>
      <c r="FF5" s="92"/>
      <c r="FG5" s="91"/>
      <c r="FH5" s="92"/>
      <c r="FI5" s="92"/>
      <c r="FJ5" s="92"/>
      <c r="FK5" s="91"/>
      <c r="FL5" s="92"/>
      <c r="FM5" s="92"/>
      <c r="FN5" s="92"/>
      <c r="FO5" s="91"/>
      <c r="FP5" s="92"/>
      <c r="FQ5" s="92"/>
      <c r="FR5" s="92"/>
      <c r="FS5" s="91"/>
      <c r="FT5" s="92"/>
      <c r="FU5" s="92"/>
      <c r="FV5" s="92"/>
      <c r="FW5" s="91"/>
      <c r="FX5" s="92"/>
      <c r="FY5" s="92"/>
      <c r="FZ5" s="92"/>
      <c r="GA5" s="91"/>
      <c r="GB5" s="92"/>
      <c r="GC5" s="94"/>
    </row>
    <row r="6" spans="1:185" s="1" customFormat="1" ht="9.75" customHeight="1" thickBot="1" x14ac:dyDescent="0.25">
      <c r="A6" s="3">
        <v>333.3</v>
      </c>
      <c r="B6" s="103"/>
      <c r="C6" s="95"/>
      <c r="D6" s="92"/>
      <c r="E6" s="99"/>
      <c r="F6" s="99"/>
      <c r="G6" s="92"/>
      <c r="H6" s="91"/>
      <c r="I6" s="92"/>
      <c r="J6" s="92"/>
      <c r="K6" s="92"/>
      <c r="L6" s="91"/>
      <c r="M6" s="92"/>
      <c r="N6" s="92"/>
      <c r="O6" s="92"/>
      <c r="P6" s="91"/>
      <c r="Q6" s="92"/>
      <c r="R6" s="92"/>
      <c r="S6" s="92"/>
      <c r="T6" s="91"/>
      <c r="U6" s="92"/>
      <c r="V6" s="92"/>
      <c r="W6" s="92"/>
      <c r="X6" s="91"/>
      <c r="Y6" s="92"/>
      <c r="Z6" s="92"/>
      <c r="AA6" s="92"/>
      <c r="AB6" s="91"/>
      <c r="AC6" s="92"/>
      <c r="AD6" s="92"/>
      <c r="AE6" s="92"/>
      <c r="AF6" s="91"/>
      <c r="AG6" s="92"/>
      <c r="AH6" s="92"/>
      <c r="AI6" s="92"/>
      <c r="AJ6" s="91"/>
      <c r="AK6" s="92"/>
      <c r="AL6" s="92"/>
      <c r="AM6" s="92"/>
      <c r="AN6" s="91"/>
      <c r="AO6" s="92"/>
      <c r="AP6" s="92"/>
      <c r="AQ6" s="92"/>
      <c r="AR6" s="91"/>
      <c r="AS6" s="92"/>
      <c r="AT6" s="92"/>
      <c r="AU6" s="92"/>
      <c r="AV6" s="91"/>
      <c r="AW6" s="92"/>
      <c r="AX6" s="92"/>
      <c r="AY6" s="92"/>
      <c r="AZ6" s="91"/>
      <c r="BA6" s="92"/>
      <c r="BB6" s="92"/>
      <c r="BC6" s="92"/>
      <c r="BD6" s="91"/>
      <c r="BE6" s="92"/>
      <c r="BF6" s="92"/>
      <c r="BG6" s="92"/>
      <c r="BH6" s="91"/>
      <c r="BI6" s="92"/>
      <c r="BJ6" s="92"/>
      <c r="BK6" s="92"/>
      <c r="BL6" s="91"/>
      <c r="BM6" s="92"/>
      <c r="BN6" s="92"/>
      <c r="BO6" s="92"/>
      <c r="BP6" s="91"/>
      <c r="BQ6" s="92"/>
      <c r="BR6" s="92"/>
      <c r="BS6" s="92"/>
      <c r="BT6" s="91"/>
      <c r="BU6" s="92"/>
      <c r="BV6" s="92"/>
      <c r="BW6" s="92"/>
      <c r="BX6" s="91"/>
      <c r="BY6" s="92"/>
      <c r="BZ6" s="92"/>
      <c r="CA6" s="92"/>
      <c r="CB6" s="91"/>
      <c r="CC6" s="92"/>
      <c r="CD6" s="92"/>
      <c r="CE6" s="92"/>
      <c r="CF6" s="91"/>
      <c r="CG6" s="92"/>
      <c r="CH6" s="92"/>
      <c r="CI6" s="92"/>
      <c r="CJ6" s="91"/>
      <c r="CK6" s="92"/>
      <c r="CL6" s="92"/>
      <c r="CM6" s="92"/>
      <c r="CN6" s="91"/>
      <c r="CO6" s="92"/>
      <c r="CP6" s="92"/>
      <c r="CQ6" s="92"/>
      <c r="CR6" s="91"/>
      <c r="CS6" s="92"/>
      <c r="CT6" s="92"/>
      <c r="CU6" s="92"/>
      <c r="CV6" s="91"/>
      <c r="CW6" s="92"/>
      <c r="CX6" s="92"/>
      <c r="CY6" s="92"/>
      <c r="CZ6" s="91"/>
      <c r="DA6" s="92"/>
      <c r="DB6" s="92"/>
      <c r="DC6" s="92"/>
      <c r="DD6" s="91"/>
      <c r="DE6" s="92"/>
      <c r="DF6" s="92"/>
      <c r="DG6" s="92"/>
      <c r="DH6" s="91"/>
      <c r="DI6" s="92"/>
      <c r="DJ6" s="92"/>
      <c r="DK6" s="92"/>
      <c r="DL6" s="91"/>
      <c r="DM6" s="92"/>
      <c r="DN6" s="92"/>
      <c r="DO6" s="92"/>
      <c r="DP6" s="91"/>
      <c r="DQ6" s="92"/>
      <c r="DR6" s="92"/>
      <c r="DS6" s="92"/>
      <c r="DT6" s="91"/>
      <c r="DU6" s="92"/>
      <c r="DV6" s="92"/>
      <c r="DW6" s="92"/>
      <c r="DX6" s="91"/>
      <c r="DY6" s="92"/>
      <c r="DZ6" s="92"/>
      <c r="EA6" s="92"/>
      <c r="EB6" s="91"/>
      <c r="EC6" s="92"/>
      <c r="ED6" s="92"/>
      <c r="EE6" s="92"/>
      <c r="EF6" s="91"/>
      <c r="EG6" s="92"/>
      <c r="EH6" s="92"/>
      <c r="EI6" s="92"/>
      <c r="EJ6" s="91"/>
      <c r="EK6" s="92"/>
      <c r="EL6" s="92"/>
      <c r="EM6" s="92"/>
      <c r="EN6" s="91"/>
      <c r="EO6" s="92"/>
      <c r="EP6" s="92"/>
      <c r="EQ6" s="92"/>
      <c r="ER6" s="91"/>
      <c r="ES6" s="92"/>
      <c r="ET6" s="92"/>
      <c r="EU6" s="92"/>
      <c r="EV6" s="91"/>
      <c r="EW6" s="92"/>
      <c r="EX6" s="92"/>
      <c r="EY6" s="92"/>
      <c r="EZ6" s="91"/>
      <c r="FA6" s="92"/>
      <c r="FB6" s="92"/>
      <c r="FC6" s="92"/>
      <c r="FD6" s="91"/>
      <c r="FE6" s="92"/>
      <c r="FF6" s="92"/>
      <c r="FG6" s="92"/>
      <c r="FH6" s="91"/>
      <c r="FI6" s="92"/>
      <c r="FJ6" s="92"/>
      <c r="FK6" s="92"/>
      <c r="FL6" s="91"/>
      <c r="FM6" s="92"/>
      <c r="FN6" s="92"/>
      <c r="FO6" s="92"/>
      <c r="FP6" s="91"/>
      <c r="FQ6" s="92"/>
      <c r="FR6" s="92"/>
      <c r="FS6" s="92"/>
      <c r="FT6" s="91"/>
      <c r="FU6" s="92"/>
      <c r="FV6" s="92"/>
      <c r="FW6" s="92"/>
      <c r="FX6" s="91"/>
      <c r="FY6" s="92"/>
      <c r="FZ6" s="92"/>
      <c r="GA6" s="71"/>
      <c r="GB6" s="89"/>
      <c r="GC6" s="93"/>
    </row>
    <row r="7" spans="1:185" s="1" customFormat="1" ht="9.75" customHeight="1" thickBot="1" x14ac:dyDescent="0.25">
      <c r="A7" s="3">
        <v>326.7</v>
      </c>
      <c r="B7" s="103"/>
      <c r="C7" s="92"/>
      <c r="D7" s="95"/>
      <c r="E7" s="92"/>
      <c r="F7" s="92"/>
      <c r="G7" s="92"/>
      <c r="H7" s="92"/>
      <c r="I7" s="91"/>
      <c r="J7" s="92"/>
      <c r="K7" s="92"/>
      <c r="L7" s="92"/>
      <c r="M7" s="91"/>
      <c r="N7" s="92"/>
      <c r="O7" s="92"/>
      <c r="P7" s="92"/>
      <c r="Q7" s="91"/>
      <c r="R7" s="92"/>
      <c r="S7" s="92"/>
      <c r="T7" s="92"/>
      <c r="U7" s="91"/>
      <c r="V7" s="92"/>
      <c r="W7" s="92"/>
      <c r="X7" s="92"/>
      <c r="Y7" s="91"/>
      <c r="Z7" s="92"/>
      <c r="AA7" s="92"/>
      <c r="AB7" s="92"/>
      <c r="AC7" s="91"/>
      <c r="AD7" s="92"/>
      <c r="AE7" s="92"/>
      <c r="AF7" s="92"/>
      <c r="AG7" s="91"/>
      <c r="AH7" s="92"/>
      <c r="AI7" s="92"/>
      <c r="AJ7" s="92"/>
      <c r="AK7" s="91"/>
      <c r="AL7" s="92"/>
      <c r="AM7" s="92"/>
      <c r="AN7" s="92"/>
      <c r="AO7" s="91"/>
      <c r="AP7" s="92"/>
      <c r="AQ7" s="92"/>
      <c r="AR7" s="92"/>
      <c r="AS7" s="91"/>
      <c r="AT7" s="92"/>
      <c r="AU7" s="92"/>
      <c r="AV7" s="92"/>
      <c r="AW7" s="91"/>
      <c r="AX7" s="92"/>
      <c r="AY7" s="92"/>
      <c r="AZ7" s="92"/>
      <c r="BA7" s="91"/>
      <c r="BB7" s="92"/>
      <c r="BC7" s="92"/>
      <c r="BD7" s="92"/>
      <c r="BE7" s="91"/>
      <c r="BF7" s="92"/>
      <c r="BG7" s="92"/>
      <c r="BH7" s="92"/>
      <c r="BI7" s="91"/>
      <c r="BJ7" s="92"/>
      <c r="BK7" s="92"/>
      <c r="BL7" s="92"/>
      <c r="BM7" s="91"/>
      <c r="BN7" s="92"/>
      <c r="BO7" s="92"/>
      <c r="BP7" s="92"/>
      <c r="BQ7" s="91"/>
      <c r="BR7" s="92"/>
      <c r="BS7" s="92"/>
      <c r="BT7" s="92"/>
      <c r="BU7" s="91"/>
      <c r="BV7" s="92"/>
      <c r="BW7" s="92"/>
      <c r="BX7" s="92"/>
      <c r="BY7" s="91"/>
      <c r="BZ7" s="92"/>
      <c r="CA7" s="92"/>
      <c r="CB7" s="92"/>
      <c r="CC7" s="91"/>
      <c r="CD7" s="92"/>
      <c r="CE7" s="92"/>
      <c r="CF7" s="92"/>
      <c r="CG7" s="91"/>
      <c r="CH7" s="92"/>
      <c r="CI7" s="92"/>
      <c r="CJ7" s="92"/>
      <c r="CK7" s="91"/>
      <c r="CL7" s="92"/>
      <c r="CM7" s="92"/>
      <c r="CN7" s="92"/>
      <c r="CO7" s="91"/>
      <c r="CP7" s="92"/>
      <c r="CQ7" s="92"/>
      <c r="CR7" s="92"/>
      <c r="CS7" s="91"/>
      <c r="CT7" s="92"/>
      <c r="CU7" s="92"/>
      <c r="CV7" s="92"/>
      <c r="CW7" s="91"/>
      <c r="CX7" s="92"/>
      <c r="CY7" s="92"/>
      <c r="CZ7" s="92"/>
      <c r="DA7" s="91"/>
      <c r="DB7" s="92"/>
      <c r="DC7" s="92"/>
      <c r="DD7" s="92"/>
      <c r="DE7" s="91"/>
      <c r="DF7" s="92"/>
      <c r="DG7" s="92"/>
      <c r="DH7" s="92"/>
      <c r="DI7" s="91"/>
      <c r="DJ7" s="92"/>
      <c r="DK7" s="92"/>
      <c r="DL7" s="92"/>
      <c r="DM7" s="91"/>
      <c r="DN7" s="92"/>
      <c r="DO7" s="92"/>
      <c r="DP7" s="92"/>
      <c r="DQ7" s="91"/>
      <c r="DR7" s="92"/>
      <c r="DS7" s="92"/>
      <c r="DT7" s="92"/>
      <c r="DU7" s="91"/>
      <c r="DV7" s="92"/>
      <c r="DW7" s="92"/>
      <c r="DX7" s="92"/>
      <c r="DY7" s="91"/>
      <c r="DZ7" s="92"/>
      <c r="EA7" s="92"/>
      <c r="EB7" s="92"/>
      <c r="EC7" s="91"/>
      <c r="ED7" s="92"/>
      <c r="EE7" s="92"/>
      <c r="EF7" s="92"/>
      <c r="EG7" s="91"/>
      <c r="EH7" s="92"/>
      <c r="EI7" s="92"/>
      <c r="EJ7" s="92"/>
      <c r="EK7" s="91"/>
      <c r="EL7" s="92"/>
      <c r="EM7" s="92"/>
      <c r="EN7" s="92"/>
      <c r="EO7" s="91"/>
      <c r="EP7" s="92"/>
      <c r="EQ7" s="92"/>
      <c r="ER7" s="92"/>
      <c r="ES7" s="91"/>
      <c r="ET7" s="92"/>
      <c r="EU7" s="92"/>
      <c r="EV7" s="92"/>
      <c r="EW7" s="91"/>
      <c r="EX7" s="92"/>
      <c r="EY7" s="92"/>
      <c r="EZ7" s="92"/>
      <c r="FA7" s="91"/>
      <c r="FB7" s="92"/>
      <c r="FC7" s="92"/>
      <c r="FD7" s="92"/>
      <c r="FE7" s="91"/>
      <c r="FF7" s="92"/>
      <c r="FG7" s="92"/>
      <c r="FH7" s="92"/>
      <c r="FI7" s="91"/>
      <c r="FJ7" s="92"/>
      <c r="FK7" s="92"/>
      <c r="FL7" s="92"/>
      <c r="FM7" s="91"/>
      <c r="FN7" s="92"/>
      <c r="FO7" s="92"/>
      <c r="FP7" s="92"/>
      <c r="FQ7" s="91"/>
      <c r="FR7" s="92"/>
      <c r="FS7" s="92"/>
      <c r="FT7" s="92"/>
      <c r="FU7" s="91"/>
      <c r="FV7" s="92"/>
      <c r="FW7" s="92"/>
      <c r="FX7" s="92"/>
      <c r="FY7" s="91"/>
      <c r="FZ7" s="92"/>
      <c r="GA7" s="98"/>
      <c r="GB7" s="99"/>
      <c r="GC7" s="100"/>
    </row>
    <row r="8" spans="1:185" s="1" customFormat="1" ht="9.75" customHeight="1" thickBot="1" x14ac:dyDescent="0.25">
      <c r="A8" s="3">
        <v>320</v>
      </c>
      <c r="B8" s="107"/>
      <c r="C8" s="101"/>
      <c r="D8" s="99"/>
      <c r="E8" s="99"/>
      <c r="F8" s="99"/>
      <c r="G8" s="99"/>
      <c r="H8" s="98"/>
      <c r="I8" s="99"/>
      <c r="J8" s="99"/>
      <c r="K8" s="99"/>
      <c r="L8" s="98"/>
      <c r="M8" s="99"/>
      <c r="N8" s="99"/>
      <c r="O8" s="99"/>
      <c r="P8" s="98"/>
      <c r="Q8" s="99"/>
      <c r="R8" s="99"/>
      <c r="S8" s="99"/>
      <c r="T8" s="98"/>
      <c r="U8" s="99"/>
      <c r="V8" s="99"/>
      <c r="W8" s="99"/>
      <c r="X8" s="98"/>
      <c r="Y8" s="99"/>
      <c r="Z8" s="99"/>
      <c r="AA8" s="99"/>
      <c r="AB8" s="98"/>
      <c r="AC8" s="99"/>
      <c r="AD8" s="99"/>
      <c r="AE8" s="99"/>
      <c r="AF8" s="98"/>
      <c r="AG8" s="99"/>
      <c r="AH8" s="99"/>
      <c r="AI8" s="99"/>
      <c r="AJ8" s="98"/>
      <c r="AK8" s="99"/>
      <c r="AL8" s="99"/>
      <c r="AM8" s="99"/>
      <c r="AN8" s="98"/>
      <c r="AO8" s="99"/>
      <c r="AP8" s="99"/>
      <c r="AQ8" s="99"/>
      <c r="AR8" s="98"/>
      <c r="AS8" s="99"/>
      <c r="AT8" s="99"/>
      <c r="AU8" s="99"/>
      <c r="AV8" s="98"/>
      <c r="AW8" s="99"/>
      <c r="AX8" s="99"/>
      <c r="AY8" s="99"/>
      <c r="AZ8" s="98"/>
      <c r="BA8" s="99"/>
      <c r="BB8" s="99"/>
      <c r="BC8" s="99"/>
      <c r="BD8" s="98"/>
      <c r="BE8" s="99"/>
      <c r="BF8" s="99"/>
      <c r="BG8" s="99"/>
      <c r="BH8" s="98"/>
      <c r="BI8" s="99"/>
      <c r="BJ8" s="99"/>
      <c r="BK8" s="99"/>
      <c r="BL8" s="98"/>
      <c r="BM8" s="99"/>
      <c r="BN8" s="99"/>
      <c r="BO8" s="99"/>
      <c r="BP8" s="98"/>
      <c r="BQ8" s="99"/>
      <c r="BR8" s="99"/>
      <c r="BS8" s="99"/>
      <c r="BT8" s="98"/>
      <c r="BU8" s="99"/>
      <c r="BV8" s="99"/>
      <c r="BW8" s="99"/>
      <c r="BX8" s="98"/>
      <c r="BY8" s="99"/>
      <c r="BZ8" s="99"/>
      <c r="CA8" s="99"/>
      <c r="CB8" s="98"/>
      <c r="CC8" s="99"/>
      <c r="CD8" s="99"/>
      <c r="CE8" s="99"/>
      <c r="CF8" s="98"/>
      <c r="CG8" s="99"/>
      <c r="CH8" s="99"/>
      <c r="CI8" s="99"/>
      <c r="CJ8" s="98"/>
      <c r="CK8" s="99"/>
      <c r="CL8" s="99"/>
      <c r="CM8" s="99"/>
      <c r="CN8" s="98"/>
      <c r="CO8" s="99"/>
      <c r="CP8" s="99"/>
      <c r="CQ8" s="99"/>
      <c r="CR8" s="98"/>
      <c r="CS8" s="99"/>
      <c r="CT8" s="99"/>
      <c r="CU8" s="99"/>
      <c r="CV8" s="98"/>
      <c r="CW8" s="99"/>
      <c r="CX8" s="99"/>
      <c r="CY8" s="99"/>
      <c r="CZ8" s="98"/>
      <c r="DA8" s="99"/>
      <c r="DB8" s="99"/>
      <c r="DC8" s="99"/>
      <c r="DD8" s="98"/>
      <c r="DE8" s="99"/>
      <c r="DF8" s="99"/>
      <c r="DG8" s="99"/>
      <c r="DH8" s="98"/>
      <c r="DI8" s="99"/>
      <c r="DJ8" s="99"/>
      <c r="DK8" s="99"/>
      <c r="DL8" s="98"/>
      <c r="DM8" s="99"/>
      <c r="DN8" s="99"/>
      <c r="DO8" s="99"/>
      <c r="DP8" s="98"/>
      <c r="DQ8" s="99"/>
      <c r="DR8" s="99"/>
      <c r="DS8" s="99"/>
      <c r="DT8" s="98"/>
      <c r="DU8" s="99"/>
      <c r="DV8" s="99"/>
      <c r="DW8" s="99"/>
      <c r="DX8" s="98"/>
      <c r="DY8" s="99"/>
      <c r="DZ8" s="99"/>
      <c r="EA8" s="99"/>
      <c r="EB8" s="98"/>
      <c r="EC8" s="99"/>
      <c r="ED8" s="99"/>
      <c r="EE8" s="99"/>
      <c r="EF8" s="98"/>
      <c r="EG8" s="99"/>
      <c r="EH8" s="99"/>
      <c r="EI8" s="99"/>
      <c r="EJ8" s="98"/>
      <c r="EK8" s="99"/>
      <c r="EL8" s="99"/>
      <c r="EM8" s="99"/>
      <c r="EN8" s="98"/>
      <c r="EO8" s="99"/>
      <c r="EP8" s="99"/>
      <c r="EQ8" s="99"/>
      <c r="ER8" s="98"/>
      <c r="ES8" s="99"/>
      <c r="ET8" s="99"/>
      <c r="EU8" s="99"/>
      <c r="EV8" s="98"/>
      <c r="EW8" s="99"/>
      <c r="EX8" s="99"/>
      <c r="EY8" s="99"/>
      <c r="EZ8" s="98"/>
      <c r="FA8" s="99"/>
      <c r="FB8" s="99"/>
      <c r="FC8" s="99"/>
      <c r="FD8" s="98"/>
      <c r="FE8" s="99"/>
      <c r="FF8" s="99"/>
      <c r="FG8" s="99"/>
      <c r="FH8" s="98"/>
      <c r="FI8" s="99"/>
      <c r="FJ8" s="99"/>
      <c r="FK8" s="99"/>
      <c r="FL8" s="98"/>
      <c r="FM8" s="99"/>
      <c r="FN8" s="99"/>
      <c r="FO8" s="99"/>
      <c r="FP8" s="98"/>
      <c r="FQ8" s="99"/>
      <c r="FR8" s="99"/>
      <c r="FS8" s="99"/>
      <c r="FT8" s="98"/>
      <c r="FU8" s="99"/>
      <c r="FV8" s="99"/>
      <c r="FW8" s="99"/>
      <c r="FX8" s="98"/>
      <c r="FY8" s="99"/>
      <c r="FZ8" s="99"/>
      <c r="GA8" s="92"/>
      <c r="GB8" s="91"/>
      <c r="GC8" s="94"/>
    </row>
    <row r="9" spans="1:185" s="1" customFormat="1" ht="9.75" customHeight="1" thickBot="1" x14ac:dyDescent="0.25">
      <c r="A9" s="3">
        <v>313.3</v>
      </c>
      <c r="B9" s="103"/>
      <c r="C9" s="92"/>
      <c r="D9" s="95"/>
      <c r="E9" s="71"/>
      <c r="F9" s="71"/>
      <c r="G9" s="91"/>
      <c r="H9" s="92"/>
      <c r="I9" s="92"/>
      <c r="J9" s="92"/>
      <c r="K9" s="91"/>
      <c r="L9" s="92"/>
      <c r="M9" s="92"/>
      <c r="N9" s="92"/>
      <c r="O9" s="91"/>
      <c r="P9" s="92"/>
      <c r="Q9" s="92"/>
      <c r="R9" s="92"/>
      <c r="S9" s="91"/>
      <c r="T9" s="92"/>
      <c r="U9" s="92"/>
      <c r="V9" s="92"/>
      <c r="W9" s="91"/>
      <c r="X9" s="92"/>
      <c r="Y9" s="92"/>
      <c r="Z9" s="92"/>
      <c r="AA9" s="91"/>
      <c r="AB9" s="92"/>
      <c r="AC9" s="92"/>
      <c r="AD9" s="92"/>
      <c r="AE9" s="91"/>
      <c r="AF9" s="92"/>
      <c r="AG9" s="92"/>
      <c r="AH9" s="92"/>
      <c r="AI9" s="91"/>
      <c r="AJ9" s="92"/>
      <c r="AK9" s="92"/>
      <c r="AL9" s="92"/>
      <c r="AM9" s="91"/>
      <c r="AN9" s="92"/>
      <c r="AO9" s="92"/>
      <c r="AP9" s="92"/>
      <c r="AQ9" s="91"/>
      <c r="AR9" s="92"/>
      <c r="AS9" s="92"/>
      <c r="AT9" s="92"/>
      <c r="AU9" s="91"/>
      <c r="AV9" s="92"/>
      <c r="AW9" s="92"/>
      <c r="AX9" s="92"/>
      <c r="AY9" s="91"/>
      <c r="AZ9" s="92"/>
      <c r="BA9" s="92"/>
      <c r="BB9" s="92"/>
      <c r="BC9" s="91"/>
      <c r="BD9" s="92"/>
      <c r="BE9" s="92"/>
      <c r="BF9" s="92"/>
      <c r="BG9" s="91"/>
      <c r="BH9" s="92"/>
      <c r="BI9" s="92"/>
      <c r="BJ9" s="92"/>
      <c r="BK9" s="91"/>
      <c r="BL9" s="92"/>
      <c r="BM9" s="92"/>
      <c r="BN9" s="92"/>
      <c r="BO9" s="91"/>
      <c r="BP9" s="92"/>
      <c r="BQ9" s="92"/>
      <c r="BR9" s="92"/>
      <c r="BS9" s="91"/>
      <c r="BT9" s="92"/>
      <c r="BU9" s="92"/>
      <c r="BV9" s="92"/>
      <c r="BW9" s="91"/>
      <c r="BX9" s="92"/>
      <c r="BY9" s="92"/>
      <c r="BZ9" s="92"/>
      <c r="CA9" s="91"/>
      <c r="CB9" s="92"/>
      <c r="CC9" s="92"/>
      <c r="CD9" s="92"/>
      <c r="CE9" s="91"/>
      <c r="CF9" s="92"/>
      <c r="CG9" s="92"/>
      <c r="CH9" s="92"/>
      <c r="CI9" s="91"/>
      <c r="CJ9" s="92"/>
      <c r="CK9" s="92"/>
      <c r="CL9" s="92"/>
      <c r="CM9" s="91"/>
      <c r="CN9" s="92"/>
      <c r="CO9" s="92"/>
      <c r="CP9" s="92"/>
      <c r="CQ9" s="91"/>
      <c r="CR9" s="92"/>
      <c r="CS9" s="92"/>
      <c r="CT9" s="92"/>
      <c r="CU9" s="91"/>
      <c r="CV9" s="92"/>
      <c r="CW9" s="92"/>
      <c r="CX9" s="92"/>
      <c r="CY9" s="91"/>
      <c r="CZ9" s="92"/>
      <c r="DA9" s="92"/>
      <c r="DB9" s="92"/>
      <c r="DC9" s="91"/>
      <c r="DD9" s="92"/>
      <c r="DE9" s="92"/>
      <c r="DF9" s="92"/>
      <c r="DG9" s="91"/>
      <c r="DH9" s="92"/>
      <c r="DI9" s="92"/>
      <c r="DJ9" s="92"/>
      <c r="DK9" s="91"/>
      <c r="DL9" s="92"/>
      <c r="DM9" s="92"/>
      <c r="DN9" s="92"/>
      <c r="DO9" s="91"/>
      <c r="DP9" s="92"/>
      <c r="DQ9" s="92"/>
      <c r="DR9" s="92"/>
      <c r="DS9" s="91"/>
      <c r="DT9" s="92"/>
      <c r="DU9" s="92"/>
      <c r="DV9" s="92"/>
      <c r="DW9" s="91"/>
      <c r="DX9" s="92"/>
      <c r="DY9" s="92"/>
      <c r="DZ9" s="92"/>
      <c r="EA9" s="91"/>
      <c r="EB9" s="92"/>
      <c r="EC9" s="92"/>
      <c r="ED9" s="92"/>
      <c r="EE9" s="91"/>
      <c r="EF9" s="92"/>
      <c r="EG9" s="92"/>
      <c r="EH9" s="92"/>
      <c r="EI9" s="91"/>
      <c r="EJ9" s="92"/>
      <c r="EK9" s="92"/>
      <c r="EL9" s="92"/>
      <c r="EM9" s="91"/>
      <c r="EN9" s="92"/>
      <c r="EO9" s="92"/>
      <c r="EP9" s="92"/>
      <c r="EQ9" s="91"/>
      <c r="ER9" s="92"/>
      <c r="ES9" s="92"/>
      <c r="ET9" s="92"/>
      <c r="EU9" s="91"/>
      <c r="EV9" s="92"/>
      <c r="EW9" s="92"/>
      <c r="EX9" s="92"/>
      <c r="EY9" s="91"/>
      <c r="EZ9" s="92"/>
      <c r="FA9" s="92"/>
      <c r="FB9" s="92"/>
      <c r="FC9" s="91"/>
      <c r="FD9" s="92"/>
      <c r="FE9" s="92"/>
      <c r="FF9" s="92"/>
      <c r="FG9" s="91"/>
      <c r="FH9" s="92"/>
      <c r="FI9" s="92"/>
      <c r="FJ9" s="92"/>
      <c r="FK9" s="91"/>
      <c r="FL9" s="92"/>
      <c r="FM9" s="92"/>
      <c r="FN9" s="92"/>
      <c r="FO9" s="91"/>
      <c r="FP9" s="92"/>
      <c r="FQ9" s="92"/>
      <c r="FR9" s="92"/>
      <c r="FS9" s="91"/>
      <c r="FT9" s="92"/>
      <c r="FU9" s="92"/>
      <c r="FV9" s="92"/>
      <c r="FW9" s="91"/>
      <c r="FX9" s="92"/>
      <c r="FY9" s="92"/>
      <c r="FZ9" s="92"/>
      <c r="GA9" s="91"/>
      <c r="GB9" s="92"/>
      <c r="GC9" s="94"/>
    </row>
    <row r="10" spans="1:185" s="1" customFormat="1" ht="9.75" customHeight="1" thickBot="1" x14ac:dyDescent="0.25">
      <c r="A10" s="3">
        <v>306.7</v>
      </c>
      <c r="B10" s="103"/>
      <c r="C10" s="95"/>
      <c r="D10" s="92"/>
      <c r="E10" s="99"/>
      <c r="F10" s="99"/>
      <c r="G10" s="92"/>
      <c r="H10" s="91"/>
      <c r="I10" s="92"/>
      <c r="J10" s="92"/>
      <c r="K10" s="92"/>
      <c r="L10" s="91"/>
      <c r="M10" s="92"/>
      <c r="N10" s="92"/>
      <c r="O10" s="92"/>
      <c r="P10" s="91"/>
      <c r="Q10" s="92"/>
      <c r="R10" s="92"/>
      <c r="S10" s="92"/>
      <c r="T10" s="91"/>
      <c r="U10" s="92"/>
      <c r="V10" s="92"/>
      <c r="W10" s="92"/>
      <c r="X10" s="91"/>
      <c r="Y10" s="92"/>
      <c r="Z10" s="92"/>
      <c r="AA10" s="92"/>
      <c r="AB10" s="91"/>
      <c r="AC10" s="92"/>
      <c r="AD10" s="92"/>
      <c r="AE10" s="92"/>
      <c r="AF10" s="91"/>
      <c r="AG10" s="92"/>
      <c r="AH10" s="92"/>
      <c r="AI10" s="92"/>
      <c r="AJ10" s="91"/>
      <c r="AK10" s="92"/>
      <c r="AL10" s="92"/>
      <c r="AM10" s="92"/>
      <c r="AN10" s="91"/>
      <c r="AO10" s="92"/>
      <c r="AP10" s="92"/>
      <c r="AQ10" s="92"/>
      <c r="AR10" s="91"/>
      <c r="AS10" s="92"/>
      <c r="AT10" s="92"/>
      <c r="AU10" s="92"/>
      <c r="AV10" s="91"/>
      <c r="AW10" s="92"/>
      <c r="AX10" s="92"/>
      <c r="AY10" s="92"/>
      <c r="AZ10" s="91"/>
      <c r="BA10" s="92"/>
      <c r="BB10" s="92"/>
      <c r="BC10" s="92"/>
      <c r="BD10" s="91"/>
      <c r="BE10" s="92"/>
      <c r="BF10" s="92"/>
      <c r="BG10" s="92"/>
      <c r="BH10" s="91"/>
      <c r="BI10" s="92"/>
      <c r="BJ10" s="92"/>
      <c r="BK10" s="92"/>
      <c r="BL10" s="91"/>
      <c r="BM10" s="92"/>
      <c r="BN10" s="92"/>
      <c r="BO10" s="92"/>
      <c r="BP10" s="91"/>
      <c r="BQ10" s="92"/>
      <c r="BR10" s="92"/>
      <c r="BS10" s="92"/>
      <c r="BT10" s="91"/>
      <c r="BU10" s="92"/>
      <c r="BV10" s="92"/>
      <c r="BW10" s="92"/>
      <c r="BX10" s="91"/>
      <c r="BY10" s="92"/>
      <c r="BZ10" s="92"/>
      <c r="CA10" s="92"/>
      <c r="CB10" s="91"/>
      <c r="CC10" s="92"/>
      <c r="CD10" s="92"/>
      <c r="CE10" s="92"/>
      <c r="CF10" s="91"/>
      <c r="CG10" s="92"/>
      <c r="CH10" s="92"/>
      <c r="CI10" s="92"/>
      <c r="CJ10" s="91"/>
      <c r="CK10" s="92"/>
      <c r="CL10" s="92"/>
      <c r="CM10" s="92"/>
      <c r="CN10" s="91"/>
      <c r="CO10" s="92"/>
      <c r="CP10" s="92"/>
      <c r="CQ10" s="92"/>
      <c r="CR10" s="91"/>
      <c r="CS10" s="92"/>
      <c r="CT10" s="92"/>
      <c r="CU10" s="92"/>
      <c r="CV10" s="91"/>
      <c r="CW10" s="92"/>
      <c r="CX10" s="92"/>
      <c r="CY10" s="92"/>
      <c r="CZ10" s="91"/>
      <c r="DA10" s="92"/>
      <c r="DB10" s="92"/>
      <c r="DC10" s="92"/>
      <c r="DD10" s="91"/>
      <c r="DE10" s="92"/>
      <c r="DF10" s="92"/>
      <c r="DG10" s="92"/>
      <c r="DH10" s="91"/>
      <c r="DI10" s="92"/>
      <c r="DJ10" s="92"/>
      <c r="DK10" s="92"/>
      <c r="DL10" s="91"/>
      <c r="DM10" s="92"/>
      <c r="DN10" s="92"/>
      <c r="DO10" s="92"/>
      <c r="DP10" s="91"/>
      <c r="DQ10" s="92"/>
      <c r="DR10" s="92"/>
      <c r="DS10" s="92"/>
      <c r="DT10" s="91"/>
      <c r="DU10" s="92"/>
      <c r="DV10" s="92"/>
      <c r="DW10" s="92"/>
      <c r="DX10" s="91"/>
      <c r="DY10" s="92"/>
      <c r="DZ10" s="92"/>
      <c r="EA10" s="92"/>
      <c r="EB10" s="91"/>
      <c r="EC10" s="92"/>
      <c r="ED10" s="92"/>
      <c r="EE10" s="92"/>
      <c r="EF10" s="91"/>
      <c r="EG10" s="92"/>
      <c r="EH10" s="92"/>
      <c r="EI10" s="92"/>
      <c r="EJ10" s="91"/>
      <c r="EK10" s="92"/>
      <c r="EL10" s="92"/>
      <c r="EM10" s="92"/>
      <c r="EN10" s="91"/>
      <c r="EO10" s="92"/>
      <c r="EP10" s="92"/>
      <c r="EQ10" s="92"/>
      <c r="ER10" s="91"/>
      <c r="ES10" s="92"/>
      <c r="ET10" s="92"/>
      <c r="EU10" s="92"/>
      <c r="EV10" s="91"/>
      <c r="EW10" s="92"/>
      <c r="EX10" s="92"/>
      <c r="EY10" s="92"/>
      <c r="EZ10" s="91"/>
      <c r="FA10" s="92"/>
      <c r="FB10" s="92"/>
      <c r="FC10" s="92"/>
      <c r="FD10" s="91"/>
      <c r="FE10" s="92"/>
      <c r="FF10" s="92"/>
      <c r="FG10" s="92"/>
      <c r="FH10" s="91"/>
      <c r="FI10" s="92"/>
      <c r="FJ10" s="92"/>
      <c r="FK10" s="92"/>
      <c r="FL10" s="91"/>
      <c r="FM10" s="92"/>
      <c r="FN10" s="92"/>
      <c r="FO10" s="92"/>
      <c r="FP10" s="91"/>
      <c r="FQ10" s="92"/>
      <c r="FR10" s="92"/>
      <c r="FS10" s="92"/>
      <c r="FT10" s="91"/>
      <c r="FU10" s="92"/>
      <c r="FV10" s="92"/>
      <c r="FW10" s="92"/>
      <c r="FX10" s="91"/>
      <c r="FY10" s="92"/>
      <c r="FZ10" s="92"/>
      <c r="GA10" s="71"/>
      <c r="GB10" s="89"/>
      <c r="GC10" s="93"/>
    </row>
    <row r="11" spans="1:185" s="1" customFormat="1" ht="9.75" customHeight="1" thickBot="1" x14ac:dyDescent="0.25">
      <c r="A11" s="3">
        <v>300</v>
      </c>
      <c r="B11" s="103"/>
      <c r="C11" s="92"/>
      <c r="D11" s="95"/>
      <c r="E11" s="92"/>
      <c r="F11" s="92"/>
      <c r="G11" s="92"/>
      <c r="H11" s="92"/>
      <c r="I11" s="91"/>
      <c r="J11" s="92"/>
      <c r="K11" s="92"/>
      <c r="L11" s="92"/>
      <c r="M11" s="91"/>
      <c r="N11" s="92"/>
      <c r="O11" s="92"/>
      <c r="P11" s="92"/>
      <c r="Q11" s="91"/>
      <c r="R11" s="92"/>
      <c r="S11" s="92"/>
      <c r="T11" s="92"/>
      <c r="U11" s="91"/>
      <c r="V11" s="92"/>
      <c r="W11" s="92"/>
      <c r="X11" s="92"/>
      <c r="Y11" s="91"/>
      <c r="Z11" s="92"/>
      <c r="AA11" s="92"/>
      <c r="AB11" s="92"/>
      <c r="AC11" s="91"/>
      <c r="AD11" s="92"/>
      <c r="AE11" s="92"/>
      <c r="AF11" s="92"/>
      <c r="AG11" s="91"/>
      <c r="AH11" s="92"/>
      <c r="AI11" s="92"/>
      <c r="AJ11" s="92"/>
      <c r="AK11" s="91"/>
      <c r="AL11" s="92"/>
      <c r="AM11" s="92"/>
      <c r="AN11" s="92"/>
      <c r="AO11" s="91"/>
      <c r="AP11" s="92"/>
      <c r="AQ11" s="92"/>
      <c r="AR11" s="92"/>
      <c r="AS11" s="91"/>
      <c r="AT11" s="92"/>
      <c r="AU11" s="92"/>
      <c r="AV11" s="92"/>
      <c r="AW11" s="91"/>
      <c r="AX11" s="92"/>
      <c r="AY11" s="92"/>
      <c r="AZ11" s="92"/>
      <c r="BA11" s="91"/>
      <c r="BB11" s="92"/>
      <c r="BC11" s="92"/>
      <c r="BD11" s="92"/>
      <c r="BE11" s="91"/>
      <c r="BF11" s="92"/>
      <c r="BG11" s="92"/>
      <c r="BH11" s="92"/>
      <c r="BI11" s="91"/>
      <c r="BJ11" s="92"/>
      <c r="BK11" s="92"/>
      <c r="BL11" s="92"/>
      <c r="BM11" s="91"/>
      <c r="BN11" s="92"/>
      <c r="BO11" s="92"/>
      <c r="BP11" s="92"/>
      <c r="BQ11" s="91"/>
      <c r="BR11" s="92"/>
      <c r="BS11" s="92"/>
      <c r="BT11" s="92"/>
      <c r="BU11" s="91"/>
      <c r="BV11" s="92"/>
      <c r="BW11" s="92"/>
      <c r="BX11" s="92"/>
      <c r="BY11" s="91"/>
      <c r="BZ11" s="92"/>
      <c r="CA11" s="92"/>
      <c r="CB11" s="92"/>
      <c r="CC11" s="91"/>
      <c r="CD11" s="92"/>
      <c r="CE11" s="92"/>
      <c r="CF11" s="92"/>
      <c r="CG11" s="91"/>
      <c r="CH11" s="92"/>
      <c r="CI11" s="92"/>
      <c r="CJ11" s="92"/>
      <c r="CK11" s="91"/>
      <c r="CL11" s="92"/>
      <c r="CM11" s="92"/>
      <c r="CN11" s="92"/>
      <c r="CO11" s="91"/>
      <c r="CP11" s="92"/>
      <c r="CQ11" s="92"/>
      <c r="CR11" s="92"/>
      <c r="CS11" s="91"/>
      <c r="CT11" s="92"/>
      <c r="CU11" s="92"/>
      <c r="CV11" s="92"/>
      <c r="CW11" s="91"/>
      <c r="CX11" s="92"/>
      <c r="CY11" s="92"/>
      <c r="CZ11" s="92"/>
      <c r="DA11" s="91"/>
      <c r="DB11" s="92"/>
      <c r="DC11" s="92"/>
      <c r="DD11" s="92"/>
      <c r="DE11" s="91"/>
      <c r="DF11" s="92"/>
      <c r="DG11" s="92"/>
      <c r="DH11" s="92"/>
      <c r="DI11" s="91"/>
      <c r="DJ11" s="92"/>
      <c r="DK11" s="92"/>
      <c r="DL11" s="92"/>
      <c r="DM11" s="91"/>
      <c r="DN11" s="92"/>
      <c r="DO11" s="92"/>
      <c r="DP11" s="92"/>
      <c r="DQ11" s="91"/>
      <c r="DR11" s="92"/>
      <c r="DS11" s="92"/>
      <c r="DT11" s="92"/>
      <c r="DU11" s="91"/>
      <c r="DV11" s="92"/>
      <c r="DW11" s="92"/>
      <c r="DX11" s="92"/>
      <c r="DY11" s="91"/>
      <c r="DZ11" s="92"/>
      <c r="EA11" s="92"/>
      <c r="EB11" s="92"/>
      <c r="EC11" s="91"/>
      <c r="ED11" s="92"/>
      <c r="EE11" s="92"/>
      <c r="EF11" s="92"/>
      <c r="EG11" s="91"/>
      <c r="EH11" s="92"/>
      <c r="EI11" s="92"/>
      <c r="EJ11" s="92"/>
      <c r="EK11" s="91"/>
      <c r="EL11" s="92"/>
      <c r="EM11" s="92"/>
      <c r="EN11" s="92"/>
      <c r="EO11" s="91"/>
      <c r="EP11" s="92"/>
      <c r="EQ11" s="92"/>
      <c r="ER11" s="92"/>
      <c r="ES11" s="91"/>
      <c r="ET11" s="92"/>
      <c r="EU11" s="92"/>
      <c r="EV11" s="92"/>
      <c r="EW11" s="91"/>
      <c r="EX11" s="92"/>
      <c r="EY11" s="92"/>
      <c r="EZ11" s="92"/>
      <c r="FA11" s="91"/>
      <c r="FB11" s="92"/>
      <c r="FC11" s="92"/>
      <c r="FD11" s="92"/>
      <c r="FE11" s="91"/>
      <c r="FF11" s="92"/>
      <c r="FG11" s="92"/>
      <c r="FH11" s="92"/>
      <c r="FI11" s="91"/>
      <c r="FJ11" s="92"/>
      <c r="FK11" s="92"/>
      <c r="FL11" s="92"/>
      <c r="FM11" s="91"/>
      <c r="FN11" s="92"/>
      <c r="FO11" s="92"/>
      <c r="FP11" s="92"/>
      <c r="FQ11" s="91"/>
      <c r="FR11" s="92"/>
      <c r="FS11" s="92"/>
      <c r="FT11" s="92"/>
      <c r="FU11" s="91"/>
      <c r="FV11" s="92"/>
      <c r="FW11" s="92"/>
      <c r="FX11" s="92"/>
      <c r="FY11" s="91"/>
      <c r="FZ11" s="92"/>
      <c r="GA11" s="98"/>
      <c r="GB11" s="99"/>
      <c r="GC11" s="100"/>
    </row>
    <row r="12" spans="1:185" s="1" customFormat="1" ht="9.75" customHeight="1" thickBot="1" x14ac:dyDescent="0.25">
      <c r="A12" s="3">
        <v>293.3</v>
      </c>
      <c r="B12" s="107"/>
      <c r="C12" s="101"/>
      <c r="D12" s="99"/>
      <c r="E12" s="99"/>
      <c r="F12" s="99"/>
      <c r="G12" s="99"/>
      <c r="H12" s="98"/>
      <c r="I12" s="99"/>
      <c r="J12" s="99"/>
      <c r="K12" s="99"/>
      <c r="L12" s="98"/>
      <c r="M12" s="99"/>
      <c r="N12" s="99"/>
      <c r="O12" s="99"/>
      <c r="P12" s="98"/>
      <c r="Q12" s="99"/>
      <c r="R12" s="99"/>
      <c r="S12" s="99"/>
      <c r="T12" s="98"/>
      <c r="U12" s="99"/>
      <c r="V12" s="99"/>
      <c r="W12" s="99"/>
      <c r="X12" s="98"/>
      <c r="Y12" s="99"/>
      <c r="Z12" s="99"/>
      <c r="AA12" s="99"/>
      <c r="AB12" s="98"/>
      <c r="AC12" s="99"/>
      <c r="AD12" s="99"/>
      <c r="AE12" s="99"/>
      <c r="AF12" s="98"/>
      <c r="AG12" s="99"/>
      <c r="AH12" s="99"/>
      <c r="AI12" s="99"/>
      <c r="AJ12" s="98"/>
      <c r="AK12" s="99"/>
      <c r="AL12" s="99"/>
      <c r="AM12" s="99"/>
      <c r="AN12" s="98"/>
      <c r="AO12" s="99"/>
      <c r="AP12" s="99"/>
      <c r="AQ12" s="99"/>
      <c r="AR12" s="98"/>
      <c r="AS12" s="99"/>
      <c r="AT12" s="99"/>
      <c r="AU12" s="99"/>
      <c r="AV12" s="98"/>
      <c r="AW12" s="99"/>
      <c r="AX12" s="99"/>
      <c r="AY12" s="99"/>
      <c r="AZ12" s="98"/>
      <c r="BA12" s="99"/>
      <c r="BB12" s="99"/>
      <c r="BC12" s="99"/>
      <c r="BD12" s="98"/>
      <c r="BE12" s="99"/>
      <c r="BF12" s="99"/>
      <c r="BG12" s="99"/>
      <c r="BH12" s="98"/>
      <c r="BI12" s="99"/>
      <c r="BJ12" s="99"/>
      <c r="BK12" s="99"/>
      <c r="BL12" s="98"/>
      <c r="BM12" s="99"/>
      <c r="BN12" s="99"/>
      <c r="BO12" s="99"/>
      <c r="BP12" s="98"/>
      <c r="BQ12" s="99"/>
      <c r="BR12" s="99"/>
      <c r="BS12" s="99"/>
      <c r="BT12" s="98"/>
      <c r="BU12" s="99"/>
      <c r="BV12" s="99"/>
      <c r="BW12" s="99"/>
      <c r="BX12" s="98"/>
      <c r="BY12" s="99"/>
      <c r="BZ12" s="99"/>
      <c r="CA12" s="99"/>
      <c r="CB12" s="98"/>
      <c r="CC12" s="99"/>
      <c r="CD12" s="99"/>
      <c r="CE12" s="99"/>
      <c r="CF12" s="98"/>
      <c r="CG12" s="99"/>
      <c r="CH12" s="99"/>
      <c r="CI12" s="99"/>
      <c r="CJ12" s="98"/>
      <c r="CK12" s="99"/>
      <c r="CL12" s="99"/>
      <c r="CM12" s="99"/>
      <c r="CN12" s="98"/>
      <c r="CO12" s="99"/>
      <c r="CP12" s="99"/>
      <c r="CQ12" s="99"/>
      <c r="CR12" s="98"/>
      <c r="CS12" s="99"/>
      <c r="CT12" s="99"/>
      <c r="CU12" s="99"/>
      <c r="CV12" s="98"/>
      <c r="CW12" s="99"/>
      <c r="CX12" s="99"/>
      <c r="CY12" s="99"/>
      <c r="CZ12" s="98"/>
      <c r="DA12" s="99"/>
      <c r="DB12" s="99"/>
      <c r="DC12" s="99"/>
      <c r="DD12" s="98"/>
      <c r="DE12" s="99"/>
      <c r="DF12" s="99"/>
      <c r="DG12" s="99"/>
      <c r="DH12" s="98"/>
      <c r="DI12" s="99"/>
      <c r="DJ12" s="99"/>
      <c r="DK12" s="99"/>
      <c r="DL12" s="98"/>
      <c r="DM12" s="99"/>
      <c r="DN12" s="99"/>
      <c r="DO12" s="99"/>
      <c r="DP12" s="98"/>
      <c r="DQ12" s="99"/>
      <c r="DR12" s="99"/>
      <c r="DS12" s="99"/>
      <c r="DT12" s="98"/>
      <c r="DU12" s="99"/>
      <c r="DV12" s="99"/>
      <c r="DW12" s="99"/>
      <c r="DX12" s="98"/>
      <c r="DY12" s="99"/>
      <c r="DZ12" s="99"/>
      <c r="EA12" s="99"/>
      <c r="EB12" s="98"/>
      <c r="EC12" s="99"/>
      <c r="ED12" s="99"/>
      <c r="EE12" s="99"/>
      <c r="EF12" s="98"/>
      <c r="EG12" s="99"/>
      <c r="EH12" s="99"/>
      <c r="EI12" s="99"/>
      <c r="EJ12" s="98"/>
      <c r="EK12" s="99"/>
      <c r="EL12" s="99"/>
      <c r="EM12" s="99"/>
      <c r="EN12" s="98"/>
      <c r="EO12" s="99"/>
      <c r="EP12" s="99"/>
      <c r="EQ12" s="99"/>
      <c r="ER12" s="98"/>
      <c r="ES12" s="99"/>
      <c r="ET12" s="99"/>
      <c r="EU12" s="99"/>
      <c r="EV12" s="98"/>
      <c r="EW12" s="99"/>
      <c r="EX12" s="99"/>
      <c r="EY12" s="99"/>
      <c r="EZ12" s="98"/>
      <c r="FA12" s="99"/>
      <c r="FB12" s="99"/>
      <c r="FC12" s="99"/>
      <c r="FD12" s="98"/>
      <c r="FE12" s="99"/>
      <c r="FF12" s="99"/>
      <c r="FG12" s="99"/>
      <c r="FH12" s="98"/>
      <c r="FI12" s="99"/>
      <c r="FJ12" s="99"/>
      <c r="FK12" s="99"/>
      <c r="FL12" s="98"/>
      <c r="FM12" s="99"/>
      <c r="FN12" s="99"/>
      <c r="FO12" s="99"/>
      <c r="FP12" s="98"/>
      <c r="FQ12" s="99"/>
      <c r="FR12" s="99"/>
      <c r="FS12" s="99"/>
      <c r="FT12" s="98"/>
      <c r="FU12" s="99"/>
      <c r="FV12" s="99"/>
      <c r="FW12" s="99"/>
      <c r="FX12" s="98"/>
      <c r="FY12" s="99"/>
      <c r="FZ12" s="99"/>
      <c r="GA12" s="92"/>
      <c r="GB12" s="91"/>
      <c r="GC12" s="94"/>
    </row>
    <row r="13" spans="1:185" s="1" customFormat="1" ht="9.75" customHeight="1" thickBot="1" x14ac:dyDescent="0.25">
      <c r="A13" s="3">
        <v>286.7</v>
      </c>
      <c r="B13" s="103"/>
      <c r="C13" s="92"/>
      <c r="D13" s="95"/>
      <c r="E13" s="71"/>
      <c r="F13" s="71"/>
      <c r="G13" s="91"/>
      <c r="H13" s="92"/>
      <c r="I13" s="92"/>
      <c r="J13" s="92"/>
      <c r="K13" s="91"/>
      <c r="L13" s="92"/>
      <c r="M13" s="92"/>
      <c r="N13" s="92"/>
      <c r="O13" s="91"/>
      <c r="P13" s="92"/>
      <c r="Q13" s="92"/>
      <c r="R13" s="92"/>
      <c r="S13" s="91"/>
      <c r="T13" s="92"/>
      <c r="U13" s="92"/>
      <c r="V13" s="92"/>
      <c r="W13" s="91"/>
      <c r="X13" s="92"/>
      <c r="Y13" s="92"/>
      <c r="Z13" s="92"/>
      <c r="AA13" s="91"/>
      <c r="AB13" s="92"/>
      <c r="AC13" s="92"/>
      <c r="AD13" s="92"/>
      <c r="AE13" s="91"/>
      <c r="AF13" s="92"/>
      <c r="AG13" s="92"/>
      <c r="AH13" s="92"/>
      <c r="AI13" s="91"/>
      <c r="AJ13" s="92"/>
      <c r="AK13" s="92"/>
      <c r="AL13" s="92"/>
      <c r="AM13" s="91"/>
      <c r="AN13" s="92"/>
      <c r="AO13" s="92"/>
      <c r="AP13" s="92"/>
      <c r="AQ13" s="91"/>
      <c r="AR13" s="92"/>
      <c r="AS13" s="92"/>
      <c r="AT13" s="92"/>
      <c r="AU13" s="91"/>
      <c r="AV13" s="92"/>
      <c r="AW13" s="92"/>
      <c r="AX13" s="92"/>
      <c r="AY13" s="91"/>
      <c r="AZ13" s="92"/>
      <c r="BA13" s="92"/>
      <c r="BB13" s="92"/>
      <c r="BC13" s="91"/>
      <c r="BD13" s="92"/>
      <c r="BE13" s="92"/>
      <c r="BF13" s="92"/>
      <c r="BG13" s="91"/>
      <c r="BH13" s="92"/>
      <c r="BI13" s="92"/>
      <c r="BJ13" s="92"/>
      <c r="BK13" s="91"/>
      <c r="BL13" s="92"/>
      <c r="BM13" s="92"/>
      <c r="BN13" s="92"/>
      <c r="BO13" s="91"/>
      <c r="BP13" s="92"/>
      <c r="BQ13" s="92"/>
      <c r="BR13" s="92"/>
      <c r="BS13" s="91"/>
      <c r="BT13" s="92"/>
      <c r="BU13" s="92"/>
      <c r="BV13" s="92"/>
      <c r="BW13" s="91"/>
      <c r="BX13" s="92"/>
      <c r="BY13" s="92"/>
      <c r="BZ13" s="92"/>
      <c r="CA13" s="91"/>
      <c r="CB13" s="92"/>
      <c r="CC13" s="92"/>
      <c r="CD13" s="92"/>
      <c r="CE13" s="91"/>
      <c r="CF13" s="92"/>
      <c r="CG13" s="92"/>
      <c r="CH13" s="92"/>
      <c r="CI13" s="91"/>
      <c r="CJ13" s="92"/>
      <c r="CK13" s="92"/>
      <c r="CL13" s="92"/>
      <c r="CM13" s="91"/>
      <c r="CN13" s="92"/>
      <c r="CO13" s="92"/>
      <c r="CP13" s="92"/>
      <c r="CQ13" s="91"/>
      <c r="CR13" s="92"/>
      <c r="CS13" s="92"/>
      <c r="CT13" s="92"/>
      <c r="CU13" s="91"/>
      <c r="CV13" s="92"/>
      <c r="CW13" s="92"/>
      <c r="CX13" s="92"/>
      <c r="CY13" s="91"/>
      <c r="CZ13" s="92"/>
      <c r="DA13" s="92"/>
      <c r="DB13" s="92"/>
      <c r="DC13" s="91"/>
      <c r="DD13" s="92"/>
      <c r="DE13" s="92"/>
      <c r="DF13" s="92"/>
      <c r="DG13" s="91"/>
      <c r="DH13" s="92"/>
      <c r="DI13" s="92"/>
      <c r="DJ13" s="92"/>
      <c r="DK13" s="91"/>
      <c r="DL13" s="92"/>
      <c r="DM13" s="92"/>
      <c r="DN13" s="92"/>
      <c r="DO13" s="91"/>
      <c r="DP13" s="92"/>
      <c r="DQ13" s="92"/>
      <c r="DR13" s="92"/>
      <c r="DS13" s="91"/>
      <c r="DT13" s="92"/>
      <c r="DU13" s="92"/>
      <c r="DV13" s="92"/>
      <c r="DW13" s="91"/>
      <c r="DX13" s="92"/>
      <c r="DY13" s="92"/>
      <c r="DZ13" s="92"/>
      <c r="EA13" s="91"/>
      <c r="EB13" s="92"/>
      <c r="EC13" s="92"/>
      <c r="ED13" s="92"/>
      <c r="EE13" s="91"/>
      <c r="EF13" s="92"/>
      <c r="EG13" s="92"/>
      <c r="EH13" s="92"/>
      <c r="EI13" s="91"/>
      <c r="EJ13" s="92"/>
      <c r="EK13" s="92"/>
      <c r="EL13" s="92"/>
      <c r="EM13" s="91"/>
      <c r="EN13" s="92"/>
      <c r="EO13" s="92"/>
      <c r="EP13" s="92"/>
      <c r="EQ13" s="91"/>
      <c r="ER13" s="92"/>
      <c r="ES13" s="92"/>
      <c r="ET13" s="92"/>
      <c r="EU13" s="91"/>
      <c r="EV13" s="92"/>
      <c r="EW13" s="92"/>
      <c r="EX13" s="92"/>
      <c r="EY13" s="91"/>
      <c r="EZ13" s="92"/>
      <c r="FA13" s="92"/>
      <c r="FB13" s="92"/>
      <c r="FC13" s="91"/>
      <c r="FD13" s="92"/>
      <c r="FE13" s="92"/>
      <c r="FF13" s="92"/>
      <c r="FG13" s="91"/>
      <c r="FH13" s="92"/>
      <c r="FI13" s="92"/>
      <c r="FJ13" s="92"/>
      <c r="FK13" s="91"/>
      <c r="FL13" s="92"/>
      <c r="FM13" s="92"/>
      <c r="FN13" s="92"/>
      <c r="FO13" s="91"/>
      <c r="FP13" s="92"/>
      <c r="FQ13" s="92"/>
      <c r="FR13" s="92"/>
      <c r="FS13" s="91"/>
      <c r="FT13" s="92"/>
      <c r="FU13" s="92"/>
      <c r="FV13" s="92"/>
      <c r="FW13" s="91"/>
      <c r="FX13" s="92"/>
      <c r="FY13" s="92"/>
      <c r="FZ13" s="92"/>
      <c r="GA13" s="91"/>
      <c r="GB13" s="92"/>
      <c r="GC13" s="94"/>
    </row>
    <row r="14" spans="1:185" s="1" customFormat="1" ht="9.75" customHeight="1" thickBot="1" x14ac:dyDescent="0.25">
      <c r="A14" s="3">
        <v>280</v>
      </c>
      <c r="B14" s="103"/>
      <c r="C14" s="95"/>
      <c r="D14" s="92"/>
      <c r="E14" s="99"/>
      <c r="F14" s="99"/>
      <c r="G14" s="92"/>
      <c r="H14" s="91"/>
      <c r="I14" s="92"/>
      <c r="J14" s="92"/>
      <c r="K14" s="92"/>
      <c r="L14" s="91"/>
      <c r="M14" s="92"/>
      <c r="N14" s="92"/>
      <c r="O14" s="92"/>
      <c r="P14" s="91"/>
      <c r="Q14" s="92"/>
      <c r="R14" s="92"/>
      <c r="S14" s="92"/>
      <c r="T14" s="91"/>
      <c r="U14" s="92"/>
      <c r="V14" s="92"/>
      <c r="W14" s="92"/>
      <c r="X14" s="91"/>
      <c r="Y14" s="92"/>
      <c r="Z14" s="92"/>
      <c r="AA14" s="92"/>
      <c r="AB14" s="91"/>
      <c r="AC14" s="92"/>
      <c r="AD14" s="92"/>
      <c r="AE14" s="92"/>
      <c r="AF14" s="91"/>
      <c r="AG14" s="92"/>
      <c r="AH14" s="92"/>
      <c r="AI14" s="92"/>
      <c r="AJ14" s="91"/>
      <c r="AK14" s="92"/>
      <c r="AL14" s="92"/>
      <c r="AM14" s="92"/>
      <c r="AN14" s="91"/>
      <c r="AO14" s="92"/>
      <c r="AP14" s="92"/>
      <c r="AQ14" s="92"/>
      <c r="AR14" s="91"/>
      <c r="AS14" s="92"/>
      <c r="AT14" s="92"/>
      <c r="AU14" s="92"/>
      <c r="AV14" s="91"/>
      <c r="AW14" s="92"/>
      <c r="AX14" s="92"/>
      <c r="AY14" s="92"/>
      <c r="AZ14" s="91"/>
      <c r="BA14" s="92"/>
      <c r="BB14" s="92"/>
      <c r="BC14" s="92"/>
      <c r="BD14" s="91"/>
      <c r="BE14" s="92"/>
      <c r="BF14" s="92"/>
      <c r="BG14" s="92"/>
      <c r="BH14" s="91"/>
      <c r="BI14" s="92"/>
      <c r="BJ14" s="92"/>
      <c r="BK14" s="92"/>
      <c r="BL14" s="91"/>
      <c r="BM14" s="92"/>
      <c r="BN14" s="92"/>
      <c r="BO14" s="92"/>
      <c r="BP14" s="91"/>
      <c r="BQ14" s="92"/>
      <c r="BR14" s="92"/>
      <c r="BS14" s="92"/>
      <c r="BT14" s="91"/>
      <c r="BU14" s="92"/>
      <c r="BV14" s="92"/>
      <c r="BW14" s="92"/>
      <c r="BX14" s="91"/>
      <c r="BY14" s="92"/>
      <c r="BZ14" s="92"/>
      <c r="CA14" s="92"/>
      <c r="CB14" s="91"/>
      <c r="CC14" s="92"/>
      <c r="CD14" s="92"/>
      <c r="CE14" s="92"/>
      <c r="CF14" s="91"/>
      <c r="CG14" s="92"/>
      <c r="CH14" s="92"/>
      <c r="CI14" s="92"/>
      <c r="CJ14" s="91"/>
      <c r="CK14" s="92"/>
      <c r="CL14" s="92"/>
      <c r="CM14" s="92"/>
      <c r="CN14" s="91"/>
      <c r="CO14" s="92"/>
      <c r="CP14" s="92"/>
      <c r="CQ14" s="92"/>
      <c r="CR14" s="91"/>
      <c r="CS14" s="92"/>
      <c r="CT14" s="92"/>
      <c r="CU14" s="92"/>
      <c r="CV14" s="91"/>
      <c r="CW14" s="92"/>
      <c r="CX14" s="92"/>
      <c r="CY14" s="92"/>
      <c r="CZ14" s="91"/>
      <c r="DA14" s="92"/>
      <c r="DB14" s="92"/>
      <c r="DC14" s="92"/>
      <c r="DD14" s="91"/>
      <c r="DE14" s="92"/>
      <c r="DF14" s="92"/>
      <c r="DG14" s="92"/>
      <c r="DH14" s="91"/>
      <c r="DI14" s="92"/>
      <c r="DJ14" s="92"/>
      <c r="DK14" s="92"/>
      <c r="DL14" s="91"/>
      <c r="DM14" s="92"/>
      <c r="DN14" s="92"/>
      <c r="DO14" s="92"/>
      <c r="DP14" s="91"/>
      <c r="DQ14" s="92"/>
      <c r="DR14" s="92"/>
      <c r="DS14" s="92"/>
      <c r="DT14" s="91"/>
      <c r="DU14" s="92"/>
      <c r="DV14" s="92"/>
      <c r="DW14" s="92"/>
      <c r="DX14" s="91"/>
      <c r="DY14" s="92"/>
      <c r="DZ14" s="92"/>
      <c r="EA14" s="92"/>
      <c r="EB14" s="91"/>
      <c r="EC14" s="92"/>
      <c r="ED14" s="92"/>
      <c r="EE14" s="92"/>
      <c r="EF14" s="91"/>
      <c r="EG14" s="92"/>
      <c r="EH14" s="92"/>
      <c r="EI14" s="92"/>
      <c r="EJ14" s="91"/>
      <c r="EK14" s="92"/>
      <c r="EL14" s="92"/>
      <c r="EM14" s="92"/>
      <c r="EN14" s="91"/>
      <c r="EO14" s="92"/>
      <c r="EP14" s="92"/>
      <c r="EQ14" s="92"/>
      <c r="ER14" s="91"/>
      <c r="ES14" s="92"/>
      <c r="ET14" s="92"/>
      <c r="EU14" s="92"/>
      <c r="EV14" s="91"/>
      <c r="EW14" s="92"/>
      <c r="EX14" s="92"/>
      <c r="EY14" s="92"/>
      <c r="EZ14" s="91"/>
      <c r="FA14" s="92"/>
      <c r="FB14" s="92"/>
      <c r="FC14" s="92"/>
      <c r="FD14" s="91"/>
      <c r="FE14" s="92"/>
      <c r="FF14" s="92"/>
      <c r="FG14" s="92"/>
      <c r="FH14" s="91"/>
      <c r="FI14" s="92"/>
      <c r="FJ14" s="92"/>
      <c r="FK14" s="92"/>
      <c r="FL14" s="91"/>
      <c r="FM14" s="92"/>
      <c r="FN14" s="92"/>
      <c r="FO14" s="92"/>
      <c r="FP14" s="91"/>
      <c r="FQ14" s="92"/>
      <c r="FR14" s="92"/>
      <c r="FS14" s="92"/>
      <c r="FT14" s="91"/>
      <c r="FU14" s="92"/>
      <c r="FV14" s="92"/>
      <c r="FW14" s="92"/>
      <c r="FX14" s="91"/>
      <c r="FY14" s="92"/>
      <c r="FZ14" s="92"/>
      <c r="GA14" s="71"/>
      <c r="GB14" s="89"/>
      <c r="GC14" s="93"/>
    </row>
    <row r="15" spans="1:185" s="1" customFormat="1" ht="9.75" customHeight="1" thickBot="1" x14ac:dyDescent="0.25">
      <c r="A15" s="3">
        <v>273.3</v>
      </c>
      <c r="B15" s="103"/>
      <c r="C15" s="92"/>
      <c r="D15" s="95"/>
      <c r="E15" s="92"/>
      <c r="F15" s="92"/>
      <c r="G15" s="92"/>
      <c r="H15" s="92"/>
      <c r="I15" s="91"/>
      <c r="J15" s="92"/>
      <c r="K15" s="92"/>
      <c r="L15" s="92"/>
      <c r="M15" s="91"/>
      <c r="N15" s="92"/>
      <c r="O15" s="92"/>
      <c r="P15" s="92"/>
      <c r="Q15" s="91"/>
      <c r="R15" s="92"/>
      <c r="S15" s="92"/>
      <c r="T15" s="92"/>
      <c r="U15" s="91"/>
      <c r="V15" s="92"/>
      <c r="W15" s="92"/>
      <c r="X15" s="92"/>
      <c r="Y15" s="91"/>
      <c r="Z15" s="92"/>
      <c r="AA15" s="92"/>
      <c r="AB15" s="92"/>
      <c r="AC15" s="91"/>
      <c r="AD15" s="92"/>
      <c r="AE15" s="92"/>
      <c r="AF15" s="92"/>
      <c r="AG15" s="91"/>
      <c r="AH15" s="92"/>
      <c r="AI15" s="92"/>
      <c r="AJ15" s="92"/>
      <c r="AK15" s="91"/>
      <c r="AL15" s="92"/>
      <c r="AM15" s="92"/>
      <c r="AN15" s="92"/>
      <c r="AO15" s="91"/>
      <c r="AP15" s="92"/>
      <c r="AQ15" s="92"/>
      <c r="AR15" s="92"/>
      <c r="AS15" s="91"/>
      <c r="AT15" s="92"/>
      <c r="AU15" s="92"/>
      <c r="AV15" s="92"/>
      <c r="AW15" s="91"/>
      <c r="AX15" s="92"/>
      <c r="AY15" s="92"/>
      <c r="AZ15" s="92"/>
      <c r="BA15" s="91"/>
      <c r="BB15" s="92"/>
      <c r="BC15" s="92"/>
      <c r="BD15" s="92"/>
      <c r="BE15" s="91"/>
      <c r="BF15" s="92"/>
      <c r="BG15" s="92"/>
      <c r="BH15" s="92"/>
      <c r="BI15" s="91"/>
      <c r="BJ15" s="92"/>
      <c r="BK15" s="92"/>
      <c r="BL15" s="92"/>
      <c r="BM15" s="91"/>
      <c r="BN15" s="92"/>
      <c r="BO15" s="92"/>
      <c r="BP15" s="92"/>
      <c r="BQ15" s="91"/>
      <c r="BR15" s="92"/>
      <c r="BS15" s="92"/>
      <c r="BT15" s="92"/>
      <c r="BU15" s="91"/>
      <c r="BV15" s="92"/>
      <c r="BW15" s="92"/>
      <c r="BX15" s="92"/>
      <c r="BY15" s="91"/>
      <c r="BZ15" s="92"/>
      <c r="CA15" s="92"/>
      <c r="CB15" s="92"/>
      <c r="CC15" s="91"/>
      <c r="CD15" s="92"/>
      <c r="CE15" s="92"/>
      <c r="CF15" s="92"/>
      <c r="CG15" s="91"/>
      <c r="CH15" s="92"/>
      <c r="CI15" s="92"/>
      <c r="CJ15" s="92"/>
      <c r="CK15" s="91"/>
      <c r="CL15" s="92"/>
      <c r="CM15" s="92"/>
      <c r="CN15" s="92"/>
      <c r="CO15" s="91"/>
      <c r="CP15" s="92"/>
      <c r="CQ15" s="92"/>
      <c r="CR15" s="92"/>
      <c r="CS15" s="91"/>
      <c r="CT15" s="92"/>
      <c r="CU15" s="92"/>
      <c r="CV15" s="92"/>
      <c r="CW15" s="91"/>
      <c r="CX15" s="92"/>
      <c r="CY15" s="92"/>
      <c r="CZ15" s="92"/>
      <c r="DA15" s="91"/>
      <c r="DB15" s="92"/>
      <c r="DC15" s="92"/>
      <c r="DD15" s="92"/>
      <c r="DE15" s="91"/>
      <c r="DF15" s="92"/>
      <c r="DG15" s="92"/>
      <c r="DH15" s="92"/>
      <c r="DI15" s="91"/>
      <c r="DJ15" s="92"/>
      <c r="DK15" s="92"/>
      <c r="DL15" s="92"/>
      <c r="DM15" s="91"/>
      <c r="DN15" s="92"/>
      <c r="DO15" s="92"/>
      <c r="DP15" s="92"/>
      <c r="DQ15" s="91"/>
      <c r="DR15" s="92"/>
      <c r="DS15" s="92"/>
      <c r="DT15" s="92"/>
      <c r="DU15" s="91"/>
      <c r="DV15" s="92"/>
      <c r="DW15" s="92"/>
      <c r="DX15" s="92"/>
      <c r="DY15" s="91"/>
      <c r="DZ15" s="92"/>
      <c r="EA15" s="92"/>
      <c r="EB15" s="92"/>
      <c r="EC15" s="91"/>
      <c r="ED15" s="92"/>
      <c r="EE15" s="92"/>
      <c r="EF15" s="92"/>
      <c r="EG15" s="91"/>
      <c r="EH15" s="92"/>
      <c r="EI15" s="92"/>
      <c r="EJ15" s="92"/>
      <c r="EK15" s="91"/>
      <c r="EL15" s="92"/>
      <c r="EM15" s="92"/>
      <c r="EN15" s="92"/>
      <c r="EO15" s="91"/>
      <c r="EP15" s="92"/>
      <c r="EQ15" s="92"/>
      <c r="ER15" s="92"/>
      <c r="ES15" s="91"/>
      <c r="ET15" s="92"/>
      <c r="EU15" s="92"/>
      <c r="EV15" s="92"/>
      <c r="EW15" s="91"/>
      <c r="EX15" s="92"/>
      <c r="EY15" s="92"/>
      <c r="EZ15" s="92"/>
      <c r="FA15" s="91"/>
      <c r="FB15" s="92"/>
      <c r="FC15" s="92"/>
      <c r="FD15" s="92"/>
      <c r="FE15" s="91"/>
      <c r="FF15" s="92"/>
      <c r="FG15" s="92"/>
      <c r="FH15" s="92"/>
      <c r="FI15" s="91"/>
      <c r="FJ15" s="92"/>
      <c r="FK15" s="92"/>
      <c r="FL15" s="92"/>
      <c r="FM15" s="91"/>
      <c r="FN15" s="92"/>
      <c r="FO15" s="92"/>
      <c r="FP15" s="92"/>
      <c r="FQ15" s="91"/>
      <c r="FR15" s="92"/>
      <c r="FS15" s="92"/>
      <c r="FT15" s="92"/>
      <c r="FU15" s="91"/>
      <c r="FV15" s="92"/>
      <c r="FW15" s="92"/>
      <c r="FX15" s="92"/>
      <c r="FY15" s="91"/>
      <c r="FZ15" s="92"/>
      <c r="GA15" s="98"/>
      <c r="GB15" s="99"/>
      <c r="GC15" s="100"/>
    </row>
    <row r="16" spans="1:185" s="1" customFormat="1" ht="9.75" customHeight="1" thickBot="1" x14ac:dyDescent="0.25">
      <c r="A16" s="3">
        <v>266.7</v>
      </c>
      <c r="B16" s="107"/>
      <c r="C16" s="101"/>
      <c r="D16" s="99"/>
      <c r="E16" s="99"/>
      <c r="F16" s="99"/>
      <c r="G16" s="99"/>
      <c r="H16" s="98"/>
      <c r="I16" s="99"/>
      <c r="J16" s="99"/>
      <c r="K16" s="99"/>
      <c r="L16" s="98"/>
      <c r="M16" s="99"/>
      <c r="N16" s="99"/>
      <c r="O16" s="99"/>
      <c r="P16" s="98"/>
      <c r="Q16" s="99"/>
      <c r="R16" s="99"/>
      <c r="S16" s="99"/>
      <c r="T16" s="98"/>
      <c r="U16" s="99"/>
      <c r="V16" s="99"/>
      <c r="W16" s="99"/>
      <c r="X16" s="98"/>
      <c r="Y16" s="99"/>
      <c r="Z16" s="99"/>
      <c r="AA16" s="99"/>
      <c r="AB16" s="98"/>
      <c r="AC16" s="99"/>
      <c r="AD16" s="99"/>
      <c r="AE16" s="99"/>
      <c r="AF16" s="98"/>
      <c r="AG16" s="99"/>
      <c r="AH16" s="99"/>
      <c r="AI16" s="99"/>
      <c r="AJ16" s="98"/>
      <c r="AK16" s="99"/>
      <c r="AL16" s="99"/>
      <c r="AM16" s="99"/>
      <c r="AN16" s="98"/>
      <c r="AO16" s="99"/>
      <c r="AP16" s="99"/>
      <c r="AQ16" s="99"/>
      <c r="AR16" s="98"/>
      <c r="AS16" s="99"/>
      <c r="AT16" s="99"/>
      <c r="AU16" s="99"/>
      <c r="AV16" s="98"/>
      <c r="AW16" s="99"/>
      <c r="AX16" s="99"/>
      <c r="AY16" s="99"/>
      <c r="AZ16" s="98"/>
      <c r="BA16" s="99"/>
      <c r="BB16" s="99"/>
      <c r="BC16" s="99"/>
      <c r="BD16" s="98"/>
      <c r="BE16" s="99"/>
      <c r="BF16" s="99"/>
      <c r="BG16" s="99"/>
      <c r="BH16" s="98"/>
      <c r="BI16" s="99"/>
      <c r="BJ16" s="99"/>
      <c r="BK16" s="99"/>
      <c r="BL16" s="98"/>
      <c r="BM16" s="99"/>
      <c r="BN16" s="99"/>
      <c r="BO16" s="99"/>
      <c r="BP16" s="98"/>
      <c r="BQ16" s="99"/>
      <c r="BR16" s="99"/>
      <c r="BS16" s="99"/>
      <c r="BT16" s="98"/>
      <c r="BU16" s="99"/>
      <c r="BV16" s="99"/>
      <c r="BW16" s="99"/>
      <c r="BX16" s="98"/>
      <c r="BY16" s="99"/>
      <c r="BZ16" s="99"/>
      <c r="CA16" s="99"/>
      <c r="CB16" s="98"/>
      <c r="CC16" s="99"/>
      <c r="CD16" s="99"/>
      <c r="CE16" s="99"/>
      <c r="CF16" s="98"/>
      <c r="CG16" s="99"/>
      <c r="CH16" s="99"/>
      <c r="CI16" s="99"/>
      <c r="CJ16" s="98"/>
      <c r="CK16" s="99"/>
      <c r="CL16" s="99"/>
      <c r="CM16" s="99"/>
      <c r="CN16" s="98"/>
      <c r="CO16" s="99"/>
      <c r="CP16" s="99"/>
      <c r="CQ16" s="99"/>
      <c r="CR16" s="98"/>
      <c r="CS16" s="99"/>
      <c r="CT16" s="99"/>
      <c r="CU16" s="99"/>
      <c r="CV16" s="98"/>
      <c r="CW16" s="99"/>
      <c r="CX16" s="99"/>
      <c r="CY16" s="99"/>
      <c r="CZ16" s="98"/>
      <c r="DA16" s="99"/>
      <c r="DB16" s="99"/>
      <c r="DC16" s="99"/>
      <c r="DD16" s="98"/>
      <c r="DE16" s="99"/>
      <c r="DF16" s="99"/>
      <c r="DG16" s="99"/>
      <c r="DH16" s="98"/>
      <c r="DI16" s="99"/>
      <c r="DJ16" s="99"/>
      <c r="DK16" s="99"/>
      <c r="DL16" s="98"/>
      <c r="DM16" s="99"/>
      <c r="DN16" s="99"/>
      <c r="DO16" s="99"/>
      <c r="DP16" s="98"/>
      <c r="DQ16" s="99"/>
      <c r="DR16" s="99"/>
      <c r="DS16" s="99"/>
      <c r="DT16" s="98"/>
      <c r="DU16" s="99"/>
      <c r="DV16" s="99"/>
      <c r="DW16" s="99"/>
      <c r="DX16" s="98"/>
      <c r="DY16" s="99"/>
      <c r="DZ16" s="99"/>
      <c r="EA16" s="99"/>
      <c r="EB16" s="98"/>
      <c r="EC16" s="99"/>
      <c r="ED16" s="99"/>
      <c r="EE16" s="99"/>
      <c r="EF16" s="98"/>
      <c r="EG16" s="99"/>
      <c r="EH16" s="99"/>
      <c r="EI16" s="99"/>
      <c r="EJ16" s="98"/>
      <c r="EK16" s="99"/>
      <c r="EL16" s="99"/>
      <c r="EM16" s="99"/>
      <c r="EN16" s="98"/>
      <c r="EO16" s="99"/>
      <c r="EP16" s="99"/>
      <c r="EQ16" s="99"/>
      <c r="ER16" s="98"/>
      <c r="ES16" s="99"/>
      <c r="ET16" s="99"/>
      <c r="EU16" s="99"/>
      <c r="EV16" s="98"/>
      <c r="EW16" s="99"/>
      <c r="EX16" s="99"/>
      <c r="EY16" s="99"/>
      <c r="EZ16" s="98"/>
      <c r="FA16" s="99"/>
      <c r="FB16" s="99"/>
      <c r="FC16" s="99"/>
      <c r="FD16" s="98"/>
      <c r="FE16" s="99"/>
      <c r="FF16" s="99"/>
      <c r="FG16" s="99"/>
      <c r="FH16" s="98"/>
      <c r="FI16" s="99"/>
      <c r="FJ16" s="99"/>
      <c r="FK16" s="99"/>
      <c r="FL16" s="98"/>
      <c r="FM16" s="99"/>
      <c r="FN16" s="99"/>
      <c r="FO16" s="99"/>
      <c r="FP16" s="98"/>
      <c r="FQ16" s="99"/>
      <c r="FR16" s="99"/>
      <c r="FS16" s="99"/>
      <c r="FT16" s="98"/>
      <c r="FU16" s="99"/>
      <c r="FV16" s="99"/>
      <c r="FW16" s="99"/>
      <c r="FX16" s="98"/>
      <c r="FY16" s="99"/>
      <c r="FZ16" s="99"/>
      <c r="GA16" s="92"/>
      <c r="GB16" s="91"/>
      <c r="GC16" s="94"/>
    </row>
    <row r="17" spans="1:185" s="1" customFormat="1" ht="9.75" customHeight="1" thickBot="1" x14ac:dyDescent="0.25">
      <c r="A17" s="3">
        <v>260</v>
      </c>
      <c r="B17" s="103"/>
      <c r="C17" s="92"/>
      <c r="D17" s="95"/>
      <c r="E17" s="71"/>
      <c r="F17" s="71"/>
      <c r="G17" s="91"/>
      <c r="H17" s="92"/>
      <c r="I17" s="92"/>
      <c r="J17" s="92"/>
      <c r="K17" s="91"/>
      <c r="L17" s="92"/>
      <c r="M17" s="92"/>
      <c r="N17" s="92"/>
      <c r="O17" s="91"/>
      <c r="P17" s="92"/>
      <c r="Q17" s="92"/>
      <c r="R17" s="92"/>
      <c r="S17" s="91"/>
      <c r="T17" s="92"/>
      <c r="U17" s="92"/>
      <c r="V17" s="92"/>
      <c r="W17" s="91"/>
      <c r="X17" s="92"/>
      <c r="Y17" s="92"/>
      <c r="Z17" s="92"/>
      <c r="AA17" s="91"/>
      <c r="AB17" s="92"/>
      <c r="AC17" s="92"/>
      <c r="AD17" s="92"/>
      <c r="AE17" s="91"/>
      <c r="AF17" s="92"/>
      <c r="AG17" s="92"/>
      <c r="AH17" s="92"/>
      <c r="AI17" s="91"/>
      <c r="AJ17" s="92"/>
      <c r="AK17" s="92"/>
      <c r="AL17" s="92"/>
      <c r="AM17" s="91"/>
      <c r="AN17" s="92"/>
      <c r="AO17" s="92"/>
      <c r="AP17" s="92"/>
      <c r="AQ17" s="91"/>
      <c r="AR17" s="92"/>
      <c r="AS17" s="92"/>
      <c r="AT17" s="92"/>
      <c r="AU17" s="91"/>
      <c r="AV17" s="92"/>
      <c r="AW17" s="92"/>
      <c r="AX17" s="92"/>
      <c r="AY17" s="91"/>
      <c r="AZ17" s="92"/>
      <c r="BA17" s="92"/>
      <c r="BB17" s="92"/>
      <c r="BC17" s="91"/>
      <c r="BD17" s="92"/>
      <c r="BE17" s="92"/>
      <c r="BF17" s="92"/>
      <c r="BG17" s="91"/>
      <c r="BH17" s="92"/>
      <c r="BI17" s="92"/>
      <c r="BJ17" s="92"/>
      <c r="BK17" s="91"/>
      <c r="BL17" s="92"/>
      <c r="BM17" s="92"/>
      <c r="BN17" s="92"/>
      <c r="BO17" s="91"/>
      <c r="BP17" s="92"/>
      <c r="BQ17" s="92"/>
      <c r="BR17" s="92"/>
      <c r="BS17" s="91"/>
      <c r="BT17" s="92"/>
      <c r="BU17" s="92"/>
      <c r="BV17" s="92"/>
      <c r="BW17" s="91"/>
      <c r="BX17" s="92"/>
      <c r="BY17" s="92"/>
      <c r="BZ17" s="92"/>
      <c r="CA17" s="91"/>
      <c r="CB17" s="92"/>
      <c r="CC17" s="92"/>
      <c r="CD17" s="92"/>
      <c r="CE17" s="91"/>
      <c r="CF17" s="92"/>
      <c r="CG17" s="92"/>
      <c r="CH17" s="92"/>
      <c r="CI17" s="91"/>
      <c r="CJ17" s="92"/>
      <c r="CK17" s="92"/>
      <c r="CL17" s="92"/>
      <c r="CM17" s="91"/>
      <c r="CN17" s="92"/>
      <c r="CO17" s="92"/>
      <c r="CP17" s="92"/>
      <c r="CQ17" s="91"/>
      <c r="CR17" s="92"/>
      <c r="CS17" s="92"/>
      <c r="CT17" s="92"/>
      <c r="CU17" s="91"/>
      <c r="CV17" s="92"/>
      <c r="CW17" s="92"/>
      <c r="CX17" s="92"/>
      <c r="CY17" s="91"/>
      <c r="CZ17" s="92"/>
      <c r="DA17" s="92"/>
      <c r="DB17" s="92"/>
      <c r="DC17" s="91"/>
      <c r="DD17" s="92"/>
      <c r="DE17" s="92"/>
      <c r="DF17" s="92"/>
      <c r="DG17" s="91"/>
      <c r="DH17" s="92"/>
      <c r="DI17" s="92"/>
      <c r="DJ17" s="92"/>
      <c r="DK17" s="91"/>
      <c r="DL17" s="92"/>
      <c r="DM17" s="92"/>
      <c r="DN17" s="92"/>
      <c r="DO17" s="91"/>
      <c r="DP17" s="92"/>
      <c r="DQ17" s="92"/>
      <c r="DR17" s="92"/>
      <c r="DS17" s="91"/>
      <c r="DT17" s="92"/>
      <c r="DU17" s="92"/>
      <c r="DV17" s="92"/>
      <c r="DW17" s="91"/>
      <c r="DX17" s="92"/>
      <c r="DY17" s="92"/>
      <c r="DZ17" s="92"/>
      <c r="EA17" s="91"/>
      <c r="EB17" s="92"/>
      <c r="EC17" s="92"/>
      <c r="ED17" s="92"/>
      <c r="EE17" s="91"/>
      <c r="EF17" s="92"/>
      <c r="EG17" s="92"/>
      <c r="EH17" s="92"/>
      <c r="EI17" s="91"/>
      <c r="EJ17" s="92"/>
      <c r="EK17" s="92"/>
      <c r="EL17" s="92"/>
      <c r="EM17" s="91"/>
      <c r="EN17" s="92"/>
      <c r="EO17" s="92"/>
      <c r="EP17" s="92"/>
      <c r="EQ17" s="91"/>
      <c r="ER17" s="92"/>
      <c r="ES17" s="92"/>
      <c r="ET17" s="92"/>
      <c r="EU17" s="91"/>
      <c r="EV17" s="92"/>
      <c r="EW17" s="92"/>
      <c r="EX17" s="92"/>
      <c r="EY17" s="91"/>
      <c r="EZ17" s="92"/>
      <c r="FA17" s="92"/>
      <c r="FB17" s="92"/>
      <c r="FC17" s="91"/>
      <c r="FD17" s="92"/>
      <c r="FE17" s="92"/>
      <c r="FF17" s="92"/>
      <c r="FG17" s="91"/>
      <c r="FH17" s="92"/>
      <c r="FI17" s="92"/>
      <c r="FJ17" s="92"/>
      <c r="FK17" s="91"/>
      <c r="FL17" s="92"/>
      <c r="FM17" s="92"/>
      <c r="FN17" s="92"/>
      <c r="FO17" s="91"/>
      <c r="FP17" s="92"/>
      <c r="FQ17" s="92"/>
      <c r="FR17" s="92"/>
      <c r="FS17" s="91"/>
      <c r="FT17" s="92"/>
      <c r="FU17" s="92"/>
      <c r="FV17" s="92"/>
      <c r="FW17" s="91"/>
      <c r="FX17" s="92"/>
      <c r="FY17" s="92"/>
      <c r="FZ17" s="92"/>
      <c r="GA17" s="91"/>
      <c r="GB17" s="92"/>
      <c r="GC17" s="94"/>
    </row>
    <row r="18" spans="1:185" s="1" customFormat="1" ht="9.75" customHeight="1" thickBot="1" x14ac:dyDescent="0.25">
      <c r="A18" s="3">
        <v>253.3</v>
      </c>
      <c r="B18" s="103"/>
      <c r="C18" s="95"/>
      <c r="D18" s="92"/>
      <c r="E18" s="99"/>
      <c r="F18" s="99"/>
      <c r="G18" s="92"/>
      <c r="H18" s="91"/>
      <c r="I18" s="92"/>
      <c r="J18" s="92"/>
      <c r="K18" s="92"/>
      <c r="L18" s="91"/>
      <c r="M18" s="92"/>
      <c r="N18" s="92"/>
      <c r="O18" s="92"/>
      <c r="P18" s="91"/>
      <c r="Q18" s="92"/>
      <c r="R18" s="92"/>
      <c r="S18" s="92"/>
      <c r="T18" s="91"/>
      <c r="U18" s="92"/>
      <c r="V18" s="92"/>
      <c r="W18" s="92"/>
      <c r="X18" s="91"/>
      <c r="Y18" s="92"/>
      <c r="Z18" s="92"/>
      <c r="AA18" s="92"/>
      <c r="AB18" s="91"/>
      <c r="AC18" s="92"/>
      <c r="AD18" s="92"/>
      <c r="AE18" s="92"/>
      <c r="AF18" s="91"/>
      <c r="AG18" s="92"/>
      <c r="AH18" s="92"/>
      <c r="AI18" s="92"/>
      <c r="AJ18" s="91"/>
      <c r="AK18" s="92"/>
      <c r="AL18" s="92"/>
      <c r="AM18" s="92"/>
      <c r="AN18" s="91"/>
      <c r="AO18" s="92"/>
      <c r="AP18" s="92"/>
      <c r="AQ18" s="92"/>
      <c r="AR18" s="91"/>
      <c r="AS18" s="92"/>
      <c r="AT18" s="92"/>
      <c r="AU18" s="92"/>
      <c r="AV18" s="91"/>
      <c r="AW18" s="92"/>
      <c r="AX18" s="92"/>
      <c r="AY18" s="92"/>
      <c r="AZ18" s="91"/>
      <c r="BA18" s="92"/>
      <c r="BB18" s="92"/>
      <c r="BC18" s="92"/>
      <c r="BD18" s="91"/>
      <c r="BE18" s="92"/>
      <c r="BF18" s="92"/>
      <c r="BG18" s="92"/>
      <c r="BH18" s="91"/>
      <c r="BI18" s="92"/>
      <c r="BJ18" s="92"/>
      <c r="BK18" s="92"/>
      <c r="BL18" s="91"/>
      <c r="BM18" s="92"/>
      <c r="BN18" s="92"/>
      <c r="BO18" s="92"/>
      <c r="BP18" s="91"/>
      <c r="BQ18" s="92"/>
      <c r="BR18" s="92"/>
      <c r="BS18" s="92"/>
      <c r="BT18" s="91"/>
      <c r="BU18" s="92"/>
      <c r="BV18" s="92"/>
      <c r="BW18" s="92"/>
      <c r="BX18" s="91"/>
      <c r="BY18" s="92"/>
      <c r="BZ18" s="92"/>
      <c r="CA18" s="92"/>
      <c r="CB18" s="91"/>
      <c r="CC18" s="92"/>
      <c r="CD18" s="92"/>
      <c r="CE18" s="92"/>
      <c r="CF18" s="91"/>
      <c r="CG18" s="92"/>
      <c r="CH18" s="92"/>
      <c r="CI18" s="92"/>
      <c r="CJ18" s="91"/>
      <c r="CK18" s="92"/>
      <c r="CL18" s="92"/>
      <c r="CM18" s="92"/>
      <c r="CN18" s="91"/>
      <c r="CO18" s="92"/>
      <c r="CP18" s="92"/>
      <c r="CQ18" s="92"/>
      <c r="CR18" s="91"/>
      <c r="CS18" s="92"/>
      <c r="CT18" s="92"/>
      <c r="CU18" s="92"/>
      <c r="CV18" s="91"/>
      <c r="CW18" s="92"/>
      <c r="CX18" s="92"/>
      <c r="CY18" s="92"/>
      <c r="CZ18" s="91"/>
      <c r="DA18" s="92"/>
      <c r="DB18" s="92"/>
      <c r="DC18" s="92"/>
      <c r="DD18" s="91"/>
      <c r="DE18" s="92"/>
      <c r="DF18" s="92"/>
      <c r="DG18" s="92"/>
      <c r="DH18" s="91"/>
      <c r="DI18" s="92"/>
      <c r="DJ18" s="92"/>
      <c r="DK18" s="92"/>
      <c r="DL18" s="91"/>
      <c r="DM18" s="92"/>
      <c r="DN18" s="92"/>
      <c r="DO18" s="92"/>
      <c r="DP18" s="91"/>
      <c r="DQ18" s="92"/>
      <c r="DR18" s="92"/>
      <c r="DS18" s="92"/>
      <c r="DT18" s="91"/>
      <c r="DU18" s="92"/>
      <c r="DV18" s="92"/>
      <c r="DW18" s="92"/>
      <c r="DX18" s="91"/>
      <c r="DY18" s="92"/>
      <c r="DZ18" s="92"/>
      <c r="EA18" s="92"/>
      <c r="EB18" s="91"/>
      <c r="EC18" s="92"/>
      <c r="ED18" s="92"/>
      <c r="EE18" s="92"/>
      <c r="EF18" s="91"/>
      <c r="EG18" s="92"/>
      <c r="EH18" s="92"/>
      <c r="EI18" s="92"/>
      <c r="EJ18" s="91"/>
      <c r="EK18" s="92"/>
      <c r="EL18" s="92"/>
      <c r="EM18" s="92"/>
      <c r="EN18" s="91"/>
      <c r="EO18" s="92"/>
      <c r="EP18" s="92"/>
      <c r="EQ18" s="92"/>
      <c r="ER18" s="91"/>
      <c r="ES18" s="92"/>
      <c r="ET18" s="92"/>
      <c r="EU18" s="92"/>
      <c r="EV18" s="91"/>
      <c r="EW18" s="92"/>
      <c r="EX18" s="92"/>
      <c r="EY18" s="92"/>
      <c r="EZ18" s="91"/>
      <c r="FA18" s="92"/>
      <c r="FB18" s="92"/>
      <c r="FC18" s="92"/>
      <c r="FD18" s="91"/>
      <c r="FE18" s="92"/>
      <c r="FF18" s="92"/>
      <c r="FG18" s="92"/>
      <c r="FH18" s="91"/>
      <c r="FI18" s="92"/>
      <c r="FJ18" s="92"/>
      <c r="FK18" s="92"/>
      <c r="FL18" s="91"/>
      <c r="FM18" s="92"/>
      <c r="FN18" s="92"/>
      <c r="FO18" s="92"/>
      <c r="FP18" s="91"/>
      <c r="FQ18" s="92"/>
      <c r="FR18" s="92"/>
      <c r="FS18" s="92"/>
      <c r="FT18" s="91"/>
      <c r="FU18" s="92"/>
      <c r="FV18" s="92"/>
      <c r="FW18" s="92"/>
      <c r="FX18" s="91"/>
      <c r="FY18" s="92"/>
      <c r="FZ18" s="92"/>
      <c r="GA18" s="71"/>
      <c r="GB18" s="89"/>
      <c r="GC18" s="93"/>
    </row>
    <row r="19" spans="1:185" s="1" customFormat="1" ht="9.75" customHeight="1" thickBot="1" x14ac:dyDescent="0.25">
      <c r="A19" s="3">
        <v>246.7</v>
      </c>
      <c r="B19" s="103"/>
      <c r="C19" s="92"/>
      <c r="D19" s="95"/>
      <c r="E19" s="92"/>
      <c r="F19" s="92"/>
      <c r="G19" s="92"/>
      <c r="H19" s="92"/>
      <c r="I19" s="91"/>
      <c r="J19" s="92"/>
      <c r="K19" s="92"/>
      <c r="L19" s="92"/>
      <c r="M19" s="91"/>
      <c r="N19" s="92"/>
      <c r="O19" s="92"/>
      <c r="P19" s="92"/>
      <c r="Q19" s="91"/>
      <c r="R19" s="92"/>
      <c r="S19" s="92"/>
      <c r="T19" s="92"/>
      <c r="U19" s="91"/>
      <c r="V19" s="92"/>
      <c r="W19" s="92"/>
      <c r="X19" s="92"/>
      <c r="Y19" s="91"/>
      <c r="Z19" s="92"/>
      <c r="AA19" s="92"/>
      <c r="AB19" s="92"/>
      <c r="AC19" s="91"/>
      <c r="AD19" s="92"/>
      <c r="AE19" s="92"/>
      <c r="AF19" s="92"/>
      <c r="AG19" s="91"/>
      <c r="AH19" s="92"/>
      <c r="AI19" s="92"/>
      <c r="AJ19" s="92"/>
      <c r="AK19" s="91"/>
      <c r="AL19" s="92"/>
      <c r="AM19" s="92"/>
      <c r="AN19" s="92"/>
      <c r="AO19" s="91"/>
      <c r="AP19" s="92"/>
      <c r="AQ19" s="92"/>
      <c r="AR19" s="92"/>
      <c r="AS19" s="91"/>
      <c r="AT19" s="92"/>
      <c r="AU19" s="92"/>
      <c r="AV19" s="92"/>
      <c r="AW19" s="91"/>
      <c r="AX19" s="92"/>
      <c r="AY19" s="92"/>
      <c r="AZ19" s="92"/>
      <c r="BA19" s="91"/>
      <c r="BB19" s="92"/>
      <c r="BC19" s="92"/>
      <c r="BD19" s="92"/>
      <c r="BE19" s="91"/>
      <c r="BF19" s="92"/>
      <c r="BG19" s="92"/>
      <c r="BH19" s="92"/>
      <c r="BI19" s="91"/>
      <c r="BJ19" s="92"/>
      <c r="BK19" s="92"/>
      <c r="BL19" s="92"/>
      <c r="BM19" s="91"/>
      <c r="BN19" s="92"/>
      <c r="BO19" s="92"/>
      <c r="BP19" s="92"/>
      <c r="BQ19" s="91"/>
      <c r="BR19" s="92"/>
      <c r="BS19" s="92"/>
      <c r="BT19" s="92"/>
      <c r="BU19" s="91"/>
      <c r="BV19" s="92"/>
      <c r="BW19" s="92"/>
      <c r="BX19" s="92"/>
      <c r="BY19" s="91"/>
      <c r="BZ19" s="92"/>
      <c r="CA19" s="92"/>
      <c r="CB19" s="92"/>
      <c r="CC19" s="91"/>
      <c r="CD19" s="92"/>
      <c r="CE19" s="92"/>
      <c r="CF19" s="92"/>
      <c r="CG19" s="91"/>
      <c r="CH19" s="92"/>
      <c r="CI19" s="92"/>
      <c r="CJ19" s="92"/>
      <c r="CK19" s="91"/>
      <c r="CL19" s="92"/>
      <c r="CM19" s="92"/>
      <c r="CN19" s="92"/>
      <c r="CO19" s="91"/>
      <c r="CP19" s="92"/>
      <c r="CQ19" s="92"/>
      <c r="CR19" s="92"/>
      <c r="CS19" s="91"/>
      <c r="CT19" s="92"/>
      <c r="CU19" s="92"/>
      <c r="CV19" s="92"/>
      <c r="CW19" s="91"/>
      <c r="CX19" s="92"/>
      <c r="CY19" s="92"/>
      <c r="CZ19" s="92"/>
      <c r="DA19" s="91"/>
      <c r="DB19" s="92"/>
      <c r="DC19" s="92"/>
      <c r="DD19" s="92"/>
      <c r="DE19" s="91"/>
      <c r="DF19" s="92"/>
      <c r="DG19" s="92"/>
      <c r="DH19" s="92"/>
      <c r="DI19" s="91"/>
      <c r="DJ19" s="92"/>
      <c r="DK19" s="92"/>
      <c r="DL19" s="92"/>
      <c r="DM19" s="91"/>
      <c r="DN19" s="92"/>
      <c r="DO19" s="92"/>
      <c r="DP19" s="92"/>
      <c r="DQ19" s="91"/>
      <c r="DR19" s="92"/>
      <c r="DS19" s="92"/>
      <c r="DT19" s="92"/>
      <c r="DU19" s="91"/>
      <c r="DV19" s="92"/>
      <c r="DW19" s="92"/>
      <c r="DX19" s="92"/>
      <c r="DY19" s="91"/>
      <c r="DZ19" s="92"/>
      <c r="EA19" s="92"/>
      <c r="EB19" s="92"/>
      <c r="EC19" s="91"/>
      <c r="ED19" s="92"/>
      <c r="EE19" s="92"/>
      <c r="EF19" s="92"/>
      <c r="EG19" s="91"/>
      <c r="EH19" s="92"/>
      <c r="EI19" s="92"/>
      <c r="EJ19" s="92"/>
      <c r="EK19" s="91"/>
      <c r="EL19" s="92"/>
      <c r="EM19" s="92"/>
      <c r="EN19" s="92"/>
      <c r="EO19" s="91"/>
      <c r="EP19" s="92"/>
      <c r="EQ19" s="92"/>
      <c r="ER19" s="92"/>
      <c r="ES19" s="91"/>
      <c r="ET19" s="92"/>
      <c r="EU19" s="92"/>
      <c r="EV19" s="92"/>
      <c r="EW19" s="91"/>
      <c r="EX19" s="92"/>
      <c r="EY19" s="92"/>
      <c r="EZ19" s="92"/>
      <c r="FA19" s="91"/>
      <c r="FB19" s="92"/>
      <c r="FC19" s="92"/>
      <c r="FD19" s="92"/>
      <c r="FE19" s="91"/>
      <c r="FF19" s="92"/>
      <c r="FG19" s="92"/>
      <c r="FH19" s="92"/>
      <c r="FI19" s="91"/>
      <c r="FJ19" s="92"/>
      <c r="FK19" s="92"/>
      <c r="FL19" s="92"/>
      <c r="FM19" s="91"/>
      <c r="FN19" s="92"/>
      <c r="FO19" s="92"/>
      <c r="FP19" s="92"/>
      <c r="FQ19" s="91"/>
      <c r="FR19" s="92"/>
      <c r="FS19" s="92"/>
      <c r="FT19" s="92"/>
      <c r="FU19" s="91"/>
      <c r="FV19" s="92"/>
      <c r="FW19" s="92"/>
      <c r="FX19" s="92"/>
      <c r="FY19" s="91"/>
      <c r="FZ19" s="92"/>
      <c r="GA19" s="98"/>
      <c r="GB19" s="99"/>
      <c r="GC19" s="100"/>
    </row>
    <row r="20" spans="1:185" s="71" customFormat="1" ht="9.75" customHeight="1" thickBot="1" x14ac:dyDescent="0.25">
      <c r="A20" s="6">
        <v>240</v>
      </c>
      <c r="B20" s="107"/>
      <c r="C20" s="101"/>
      <c r="D20" s="99"/>
      <c r="E20" s="99"/>
      <c r="F20" s="99"/>
      <c r="G20" s="99"/>
      <c r="H20" s="98"/>
      <c r="I20" s="99"/>
      <c r="J20" s="99"/>
      <c r="K20" s="99"/>
      <c r="L20" s="98"/>
      <c r="M20" s="99"/>
      <c r="N20" s="99"/>
      <c r="O20" s="99"/>
      <c r="P20" s="98"/>
      <c r="Q20" s="99"/>
      <c r="R20" s="99"/>
      <c r="S20" s="99"/>
      <c r="T20" s="98"/>
      <c r="U20" s="99"/>
      <c r="V20" s="99"/>
      <c r="W20" s="99"/>
      <c r="X20" s="98"/>
      <c r="Y20" s="99"/>
      <c r="Z20" s="99"/>
      <c r="AA20" s="99"/>
      <c r="AB20" s="98"/>
      <c r="AC20" s="99"/>
      <c r="AD20" s="99"/>
      <c r="AE20" s="99"/>
      <c r="AF20" s="98"/>
      <c r="AG20" s="99"/>
      <c r="AH20" s="99"/>
      <c r="AI20" s="99"/>
      <c r="AJ20" s="98"/>
      <c r="AK20" s="99"/>
      <c r="AL20" s="99"/>
      <c r="AM20" s="99"/>
      <c r="AN20" s="98"/>
      <c r="AO20" s="99"/>
      <c r="AP20" s="99"/>
      <c r="AQ20" s="99"/>
      <c r="AR20" s="98"/>
      <c r="AS20" s="99"/>
      <c r="AT20" s="99"/>
      <c r="AU20" s="99"/>
      <c r="AV20" s="98"/>
      <c r="AW20" s="99"/>
      <c r="AX20" s="99"/>
      <c r="AY20" s="99"/>
      <c r="AZ20" s="98"/>
      <c r="BA20" s="99"/>
      <c r="BB20" s="99"/>
      <c r="BC20" s="99"/>
      <c r="BD20" s="98"/>
      <c r="BE20" s="99"/>
      <c r="BF20" s="99"/>
      <c r="BG20" s="99"/>
      <c r="BH20" s="98"/>
      <c r="BI20" s="99"/>
      <c r="BJ20" s="99"/>
      <c r="BK20" s="99"/>
      <c r="BL20" s="98"/>
      <c r="BM20" s="99"/>
      <c r="BN20" s="99"/>
      <c r="BO20" s="99"/>
      <c r="BP20" s="98"/>
      <c r="BQ20" s="99"/>
      <c r="BR20" s="99"/>
      <c r="BS20" s="99"/>
      <c r="BT20" s="98"/>
      <c r="BU20" s="99"/>
      <c r="BV20" s="99"/>
      <c r="BW20" s="99"/>
      <c r="BX20" s="98"/>
      <c r="BY20" s="99"/>
      <c r="BZ20" s="99"/>
      <c r="CA20" s="99"/>
      <c r="CB20" s="98"/>
      <c r="CC20" s="99"/>
      <c r="CD20" s="99"/>
      <c r="CE20" s="99"/>
      <c r="CF20" s="98"/>
      <c r="CG20" s="99"/>
      <c r="CH20" s="99"/>
      <c r="CI20" s="99"/>
      <c r="CJ20" s="98"/>
      <c r="CK20" s="99"/>
      <c r="CL20" s="99"/>
      <c r="CM20" s="99"/>
      <c r="CN20" s="98"/>
      <c r="CO20" s="99"/>
      <c r="CP20" s="99"/>
      <c r="CQ20" s="99"/>
      <c r="CR20" s="98"/>
      <c r="CS20" s="99"/>
      <c r="CT20" s="99"/>
      <c r="CU20" s="99"/>
      <c r="CV20" s="98"/>
      <c r="CW20" s="99"/>
      <c r="CX20" s="99"/>
      <c r="CY20" s="99"/>
      <c r="CZ20" s="98"/>
      <c r="DA20" s="99"/>
      <c r="DB20" s="99"/>
      <c r="DC20" s="99"/>
      <c r="DD20" s="98"/>
      <c r="DE20" s="99"/>
      <c r="DF20" s="99"/>
      <c r="DG20" s="99"/>
      <c r="DH20" s="98"/>
      <c r="DI20" s="99"/>
      <c r="DJ20" s="99"/>
      <c r="DK20" s="99"/>
      <c r="DL20" s="123"/>
      <c r="DM20" s="124"/>
      <c r="DN20" s="124"/>
      <c r="DO20" s="124"/>
      <c r="DP20" s="125"/>
      <c r="DQ20" s="124"/>
      <c r="DR20" s="124"/>
      <c r="DS20" s="124"/>
      <c r="DT20" s="125"/>
      <c r="DU20" s="124"/>
      <c r="DV20" s="124"/>
      <c r="DW20" s="124"/>
      <c r="DX20" s="125"/>
      <c r="DY20" s="124"/>
      <c r="DZ20" s="124"/>
      <c r="EA20" s="124"/>
      <c r="EB20" s="125"/>
      <c r="EC20" s="124"/>
      <c r="ED20" s="124"/>
      <c r="EE20" s="124"/>
      <c r="EF20" s="125"/>
      <c r="EG20" s="124"/>
      <c r="EH20" s="124"/>
      <c r="EI20" s="124"/>
      <c r="EJ20" s="125"/>
      <c r="EK20" s="124"/>
      <c r="EL20" s="124"/>
      <c r="EM20" s="124"/>
      <c r="EN20" s="125"/>
      <c r="EO20" s="124"/>
      <c r="EP20" s="124"/>
      <c r="EQ20" s="124"/>
      <c r="ER20" s="125"/>
      <c r="ES20" s="124"/>
      <c r="ET20" s="124"/>
      <c r="EU20" s="124"/>
      <c r="EV20" s="125"/>
      <c r="EW20" s="124"/>
      <c r="EX20" s="124"/>
      <c r="EY20" s="124"/>
      <c r="EZ20" s="125"/>
      <c r="FA20" s="124"/>
      <c r="FB20" s="124"/>
      <c r="FC20" s="124"/>
      <c r="FD20" s="125"/>
      <c r="FE20" s="124"/>
      <c r="FF20" s="124"/>
      <c r="FG20" s="124"/>
      <c r="FH20" s="125"/>
      <c r="FI20" s="124"/>
      <c r="FJ20" s="124"/>
      <c r="FK20" s="124"/>
      <c r="FL20" s="123"/>
      <c r="FM20" s="126"/>
      <c r="FN20" s="126"/>
      <c r="FO20" s="126"/>
      <c r="FP20" s="98"/>
      <c r="FQ20" s="99"/>
      <c r="FR20" s="99"/>
      <c r="FS20" s="99"/>
      <c r="FT20" s="98"/>
      <c r="FU20" s="99"/>
      <c r="FV20" s="99"/>
      <c r="FW20" s="99"/>
      <c r="FX20" s="98"/>
      <c r="FY20" s="99"/>
      <c r="FZ20" s="99"/>
      <c r="GA20" s="92"/>
      <c r="GB20" s="91"/>
      <c r="GC20" s="94"/>
    </row>
    <row r="21" spans="1:185" s="71" customFormat="1" ht="9.75" customHeight="1" thickBot="1" x14ac:dyDescent="0.25">
      <c r="A21" s="6">
        <v>233.3</v>
      </c>
      <c r="B21" s="103"/>
      <c r="C21" s="92"/>
      <c r="D21" s="95"/>
      <c r="G21" s="91"/>
      <c r="H21" s="92"/>
      <c r="I21" s="92"/>
      <c r="J21" s="92"/>
      <c r="K21" s="91"/>
      <c r="L21" s="92"/>
      <c r="M21" s="92"/>
      <c r="N21" s="92"/>
      <c r="O21" s="91"/>
      <c r="P21" s="92"/>
      <c r="Q21" s="92"/>
      <c r="R21" s="92"/>
      <c r="S21" s="91"/>
      <c r="T21" s="92"/>
      <c r="U21" s="92"/>
      <c r="V21" s="92"/>
      <c r="W21" s="91"/>
      <c r="X21" s="92"/>
      <c r="Y21" s="92"/>
      <c r="Z21" s="92"/>
      <c r="AA21" s="91"/>
      <c r="AB21" s="92"/>
      <c r="AC21" s="92"/>
      <c r="AD21" s="92"/>
      <c r="AE21" s="91"/>
      <c r="AF21" s="92"/>
      <c r="AG21" s="92"/>
      <c r="AH21" s="92"/>
      <c r="AI21" s="91"/>
      <c r="AJ21" s="92"/>
      <c r="AK21" s="92"/>
      <c r="AL21" s="92"/>
      <c r="AM21" s="91"/>
      <c r="AN21" s="92"/>
      <c r="AO21" s="92"/>
      <c r="AP21" s="92"/>
      <c r="AQ21" s="91"/>
      <c r="AR21" s="92"/>
      <c r="AS21" s="92"/>
      <c r="AT21" s="92"/>
      <c r="AU21" s="91"/>
      <c r="AV21" s="92"/>
      <c r="AW21" s="92"/>
      <c r="AX21" s="92"/>
      <c r="AY21" s="91"/>
      <c r="AZ21" s="92"/>
      <c r="BA21" s="92"/>
      <c r="BB21" s="92"/>
      <c r="BC21" s="91"/>
      <c r="BD21" s="92"/>
      <c r="BE21" s="92"/>
      <c r="BF21" s="92"/>
      <c r="BG21" s="91"/>
      <c r="BH21" s="92"/>
      <c r="BI21" s="92"/>
      <c r="BJ21" s="92"/>
      <c r="BK21" s="91"/>
      <c r="BL21" s="92"/>
      <c r="BM21" s="92"/>
      <c r="BN21" s="92"/>
      <c r="BO21" s="91"/>
      <c r="BP21" s="92"/>
      <c r="BQ21" s="92"/>
      <c r="BR21" s="92"/>
      <c r="BS21" s="91"/>
      <c r="BT21" s="92"/>
      <c r="BU21" s="92"/>
      <c r="BV21" s="92"/>
      <c r="BW21" s="91"/>
      <c r="BX21" s="92"/>
      <c r="BY21" s="92"/>
      <c r="BZ21" s="92"/>
      <c r="CA21" s="91"/>
      <c r="CB21" s="92"/>
      <c r="CC21" s="92"/>
      <c r="CD21" s="92"/>
      <c r="CE21" s="91"/>
      <c r="CF21" s="92"/>
      <c r="CG21" s="92"/>
      <c r="CH21" s="92"/>
      <c r="CI21" s="91"/>
      <c r="CJ21" s="92"/>
      <c r="CK21" s="92"/>
      <c r="CL21" s="92"/>
      <c r="CM21" s="91"/>
      <c r="CN21" s="92"/>
      <c r="CO21" s="92"/>
      <c r="CP21" s="92"/>
      <c r="CQ21" s="91"/>
      <c r="CR21" s="92"/>
      <c r="CS21" s="92"/>
      <c r="CT21" s="92"/>
      <c r="CU21" s="91"/>
      <c r="CV21" s="92"/>
      <c r="CW21" s="92"/>
      <c r="CX21" s="92"/>
      <c r="CY21" s="91"/>
      <c r="CZ21" s="92"/>
      <c r="DA21" s="92"/>
      <c r="DB21" s="92"/>
      <c r="DC21" s="91"/>
      <c r="DD21" s="92"/>
      <c r="DE21" s="92"/>
      <c r="DF21" s="92"/>
      <c r="DG21" s="91"/>
      <c r="DH21" s="92"/>
      <c r="DI21" s="92"/>
      <c r="DJ21" s="92"/>
      <c r="DK21" s="91"/>
      <c r="DL21" s="92"/>
      <c r="DM21" s="98"/>
      <c r="DN21" s="99"/>
      <c r="DO21" s="99"/>
      <c r="DP21" s="110"/>
      <c r="DQ21" s="105"/>
      <c r="DR21" s="105"/>
      <c r="DS21" s="105"/>
      <c r="DT21" s="105"/>
      <c r="DU21" s="105"/>
      <c r="DV21" s="105"/>
      <c r="DW21" s="105"/>
      <c r="DX21" s="105"/>
      <c r="DY21" s="105"/>
      <c r="DZ21" s="105"/>
      <c r="EA21" s="105"/>
      <c r="EB21" s="105"/>
      <c r="EC21" s="105"/>
      <c r="ED21" s="105"/>
      <c r="EE21" s="105"/>
      <c r="EF21" s="105"/>
      <c r="EG21" s="105"/>
      <c r="EH21" s="105"/>
      <c r="EI21" s="105"/>
      <c r="EJ21" s="105"/>
      <c r="EK21" s="105"/>
      <c r="EL21" s="105"/>
      <c r="EM21" s="105"/>
      <c r="EN21" s="105"/>
      <c r="EO21" s="105"/>
      <c r="EP21" s="105"/>
      <c r="EQ21" s="105"/>
      <c r="ER21" s="105"/>
      <c r="ES21" s="105"/>
      <c r="ET21" s="105"/>
      <c r="EU21" s="105"/>
      <c r="EV21" s="105"/>
      <c r="EW21" s="105"/>
      <c r="EX21" s="105"/>
      <c r="EY21" s="105"/>
      <c r="EZ21" s="105"/>
      <c r="FA21" s="105"/>
      <c r="FB21" s="105"/>
      <c r="FC21" s="105"/>
      <c r="FD21" s="105"/>
      <c r="FE21" s="105"/>
      <c r="FF21" s="105"/>
      <c r="FG21" s="105"/>
      <c r="FH21" s="105"/>
      <c r="FI21" s="105"/>
      <c r="FJ21" s="105"/>
      <c r="FK21" s="112"/>
      <c r="FL21" s="92"/>
      <c r="FM21" s="92"/>
      <c r="FN21" s="92"/>
      <c r="FO21" s="91"/>
      <c r="FP21" s="92"/>
      <c r="FQ21" s="92"/>
      <c r="FR21" s="92"/>
      <c r="FS21" s="91"/>
      <c r="FT21" s="92"/>
      <c r="FU21" s="92"/>
      <c r="FV21" s="92"/>
      <c r="FW21" s="91"/>
      <c r="FX21" s="92"/>
      <c r="FY21" s="92"/>
      <c r="FZ21" s="92"/>
      <c r="GA21" s="91"/>
      <c r="GB21" s="92"/>
      <c r="GC21" s="94"/>
    </row>
    <row r="22" spans="1:185" s="71" customFormat="1" ht="9.75" customHeight="1" thickBot="1" x14ac:dyDescent="0.25">
      <c r="A22" s="6">
        <v>226.7</v>
      </c>
      <c r="B22" s="103"/>
      <c r="C22" s="95"/>
      <c r="D22" s="92"/>
      <c r="E22" s="99"/>
      <c r="F22" s="99"/>
      <c r="G22" s="92"/>
      <c r="H22" s="91"/>
      <c r="I22" s="92"/>
      <c r="J22" s="92"/>
      <c r="K22" s="92"/>
      <c r="L22" s="91"/>
      <c r="M22" s="92"/>
      <c r="N22" s="92"/>
      <c r="O22" s="92"/>
      <c r="P22" s="91"/>
      <c r="Q22" s="92"/>
      <c r="R22" s="92"/>
      <c r="S22" s="92"/>
      <c r="T22" s="91"/>
      <c r="U22" s="92"/>
      <c r="V22" s="92"/>
      <c r="W22" s="92"/>
      <c r="X22" s="91"/>
      <c r="Y22" s="92"/>
      <c r="Z22" s="92"/>
      <c r="AA22" s="92"/>
      <c r="AB22" s="91"/>
      <c r="AC22" s="92"/>
      <c r="AD22" s="92"/>
      <c r="AE22" s="92"/>
      <c r="AF22" s="91"/>
      <c r="AG22" s="92"/>
      <c r="AH22" s="92"/>
      <c r="AI22" s="92"/>
      <c r="AJ22" s="91"/>
      <c r="AK22" s="92"/>
      <c r="AL22" s="92"/>
      <c r="AM22" s="92"/>
      <c r="AN22" s="91"/>
      <c r="AO22" s="92"/>
      <c r="AP22" s="92"/>
      <c r="AQ22" s="92"/>
      <c r="AR22" s="91"/>
      <c r="AS22" s="92"/>
      <c r="AT22" s="92"/>
      <c r="AU22" s="92"/>
      <c r="AV22" s="91"/>
      <c r="AW22" s="92"/>
      <c r="AX22" s="92"/>
      <c r="AY22" s="92"/>
      <c r="AZ22" s="91"/>
      <c r="BA22" s="92"/>
      <c r="BB22" s="92"/>
      <c r="BC22" s="92"/>
      <c r="BD22" s="91"/>
      <c r="BE22" s="92"/>
      <c r="BF22" s="92"/>
      <c r="BG22" s="92"/>
      <c r="BH22" s="91"/>
      <c r="BI22" s="92"/>
      <c r="BJ22" s="92"/>
      <c r="BK22" s="92"/>
      <c r="BL22" s="91"/>
      <c r="BM22" s="92"/>
      <c r="BN22" s="92"/>
      <c r="BO22" s="92"/>
      <c r="BP22" s="91"/>
      <c r="BQ22" s="92"/>
      <c r="BR22" s="92"/>
      <c r="BS22" s="92"/>
      <c r="BT22" s="91"/>
      <c r="BU22" s="92"/>
      <c r="BV22" s="92"/>
      <c r="BW22" s="92"/>
      <c r="BX22" s="91"/>
      <c r="BY22" s="92"/>
      <c r="BZ22" s="92"/>
      <c r="CA22" s="92"/>
      <c r="CB22" s="91"/>
      <c r="CC22" s="92"/>
      <c r="CD22" s="92"/>
      <c r="CE22" s="92"/>
      <c r="CF22" s="91"/>
      <c r="CG22" s="92"/>
      <c r="CH22" s="92"/>
      <c r="CI22" s="92"/>
      <c r="CJ22" s="91"/>
      <c r="CK22" s="92"/>
      <c r="CL22" s="92"/>
      <c r="CM22" s="92"/>
      <c r="CN22" s="91"/>
      <c r="CO22" s="92"/>
      <c r="CP22" s="92"/>
      <c r="CQ22" s="92"/>
      <c r="CR22" s="91"/>
      <c r="CS22" s="92"/>
      <c r="CT22" s="92"/>
      <c r="CU22" s="92"/>
      <c r="CV22" s="91"/>
      <c r="CW22" s="92"/>
      <c r="CX22" s="92"/>
      <c r="CY22" s="92"/>
      <c r="CZ22" s="91"/>
      <c r="DA22" s="92"/>
      <c r="DB22" s="92"/>
      <c r="DC22" s="92"/>
      <c r="DD22" s="91"/>
      <c r="DE22" s="92"/>
      <c r="DF22" s="92"/>
      <c r="DG22" s="92"/>
      <c r="DH22" s="91"/>
      <c r="DI22" s="92"/>
      <c r="DJ22" s="92"/>
      <c r="DK22" s="92"/>
      <c r="DL22" s="91"/>
      <c r="DM22" s="92"/>
      <c r="DN22" s="92"/>
      <c r="DO22" s="92"/>
      <c r="DP22" s="88"/>
      <c r="EN22" s="114" t="s">
        <v>91</v>
      </c>
      <c r="FK22" s="93"/>
      <c r="FO22" s="92"/>
      <c r="FP22" s="91"/>
      <c r="FQ22" s="92"/>
      <c r="FR22" s="92"/>
      <c r="FS22" s="92"/>
      <c r="FT22" s="91"/>
      <c r="FU22" s="92"/>
      <c r="FV22" s="92"/>
      <c r="FW22" s="92"/>
      <c r="FX22" s="91"/>
      <c r="FY22" s="92"/>
      <c r="FZ22" s="92"/>
      <c r="GB22" s="89"/>
      <c r="GC22" s="93"/>
    </row>
    <row r="23" spans="1:185" s="71" customFormat="1" ht="9.75" customHeight="1" thickBot="1" x14ac:dyDescent="0.25">
      <c r="A23" s="6">
        <v>220</v>
      </c>
      <c r="B23" s="103"/>
      <c r="C23" s="92"/>
      <c r="D23" s="95"/>
      <c r="E23" s="92"/>
      <c r="F23" s="92"/>
      <c r="G23" s="92"/>
      <c r="H23" s="92"/>
      <c r="I23" s="91"/>
      <c r="J23" s="92"/>
      <c r="K23" s="92"/>
      <c r="L23" s="92"/>
      <c r="M23" s="119"/>
      <c r="N23" s="122"/>
      <c r="O23" s="122"/>
      <c r="P23" s="122"/>
      <c r="Q23" s="119"/>
      <c r="R23" s="120"/>
      <c r="S23" s="120"/>
      <c r="T23" s="120"/>
      <c r="U23" s="121"/>
      <c r="V23" s="120"/>
      <c r="W23" s="120"/>
      <c r="X23" s="120"/>
      <c r="Y23" s="121"/>
      <c r="Z23" s="120"/>
      <c r="AA23" s="120"/>
      <c r="AB23" s="120"/>
      <c r="AC23" s="121"/>
      <c r="AD23" s="120"/>
      <c r="AE23" s="120"/>
      <c r="AF23" s="120"/>
      <c r="AG23" s="121"/>
      <c r="AH23" s="120"/>
      <c r="AI23" s="120"/>
      <c r="AJ23" s="120"/>
      <c r="AK23" s="121"/>
      <c r="AL23" s="120"/>
      <c r="AM23" s="120"/>
      <c r="AN23" s="120"/>
      <c r="AO23" s="121"/>
      <c r="AP23" s="120"/>
      <c r="AQ23" s="120"/>
      <c r="AR23" s="120"/>
      <c r="AS23" s="121"/>
      <c r="AT23" s="120"/>
      <c r="AU23" s="120"/>
      <c r="AV23" s="120"/>
      <c r="AW23" s="121"/>
      <c r="AX23" s="122"/>
      <c r="AY23" s="122"/>
      <c r="AZ23" s="122"/>
      <c r="BA23" s="119"/>
      <c r="BB23" s="122"/>
      <c r="BC23" s="122"/>
      <c r="BD23" s="122"/>
      <c r="BE23" s="91"/>
      <c r="BF23" s="92"/>
      <c r="BG23" s="92"/>
      <c r="BH23" s="92"/>
      <c r="BI23" s="91"/>
      <c r="BJ23" s="92"/>
      <c r="BK23" s="92"/>
      <c r="BL23" s="92"/>
      <c r="BM23" s="119"/>
      <c r="BN23" s="120"/>
      <c r="BO23" s="120"/>
      <c r="BP23" s="120"/>
      <c r="BQ23" s="121"/>
      <c r="BR23" s="120"/>
      <c r="BS23" s="120"/>
      <c r="BT23" s="120"/>
      <c r="BU23" s="121"/>
      <c r="BV23" s="120"/>
      <c r="BW23" s="120"/>
      <c r="BX23" s="120"/>
      <c r="BY23" s="121"/>
      <c r="BZ23" s="120"/>
      <c r="CA23" s="120"/>
      <c r="CB23" s="120"/>
      <c r="CC23" s="121"/>
      <c r="CD23" s="120"/>
      <c r="CE23" s="120"/>
      <c r="CF23" s="120"/>
      <c r="CG23" s="121"/>
      <c r="CH23" s="120"/>
      <c r="CI23" s="120"/>
      <c r="CJ23" s="120"/>
      <c r="CK23" s="121"/>
      <c r="CL23" s="120"/>
      <c r="CM23" s="120"/>
      <c r="CN23" s="120"/>
      <c r="CO23" s="121"/>
      <c r="CP23" s="120"/>
      <c r="CQ23" s="120"/>
      <c r="CR23" s="120"/>
      <c r="CS23" s="121"/>
      <c r="CT23" s="120"/>
      <c r="CU23" s="120"/>
      <c r="CV23" s="120"/>
      <c r="CW23" s="119"/>
      <c r="CX23" s="122"/>
      <c r="CY23" s="122"/>
      <c r="CZ23" s="122"/>
      <c r="DA23" s="91"/>
      <c r="DB23" s="92"/>
      <c r="DC23" s="92"/>
      <c r="DD23" s="92"/>
      <c r="DE23" s="91"/>
      <c r="DF23" s="92"/>
      <c r="DG23" s="92"/>
      <c r="DH23" s="92"/>
      <c r="DI23" s="91"/>
      <c r="DJ23" s="92"/>
      <c r="DK23" s="92"/>
      <c r="DL23" s="92"/>
      <c r="DM23" s="91"/>
      <c r="DN23" s="92"/>
      <c r="DO23" s="92"/>
      <c r="DP23" s="88"/>
      <c r="EN23" s="71" t="s">
        <v>85</v>
      </c>
      <c r="FK23" s="93"/>
      <c r="FL23" s="99"/>
      <c r="FM23" s="99"/>
      <c r="FN23" s="101"/>
      <c r="FO23" s="92"/>
      <c r="FP23" s="92"/>
      <c r="FQ23" s="91"/>
      <c r="FR23" s="92"/>
      <c r="FS23" s="92"/>
      <c r="FT23" s="92"/>
      <c r="FU23" s="91"/>
      <c r="FV23" s="92"/>
      <c r="FW23" s="92"/>
      <c r="FX23" s="92"/>
      <c r="FY23" s="91"/>
      <c r="FZ23" s="92"/>
      <c r="GA23" s="98"/>
      <c r="GB23" s="99"/>
      <c r="GC23" s="100"/>
    </row>
    <row r="24" spans="1:185" s="71" customFormat="1" ht="9.75" customHeight="1" thickBot="1" x14ac:dyDescent="0.25">
      <c r="A24" s="6">
        <v>213.3</v>
      </c>
      <c r="B24" s="107"/>
      <c r="C24" s="101"/>
      <c r="D24" s="99"/>
      <c r="E24" s="99"/>
      <c r="F24" s="99"/>
      <c r="G24" s="99"/>
      <c r="H24" s="98"/>
      <c r="I24" s="99"/>
      <c r="J24" s="99"/>
      <c r="K24" s="99"/>
      <c r="L24" s="98"/>
      <c r="M24" s="99"/>
      <c r="N24" s="99"/>
      <c r="O24" s="99"/>
      <c r="P24" s="98"/>
      <c r="Q24" s="99"/>
      <c r="R24" s="110"/>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12"/>
      <c r="AX24" s="102"/>
      <c r="AY24" s="102"/>
      <c r="AZ24" s="106"/>
      <c r="BA24" s="99"/>
      <c r="BB24" s="99"/>
      <c r="BC24" s="99"/>
      <c r="BD24" s="98"/>
      <c r="BE24" s="99"/>
      <c r="BF24" s="99"/>
      <c r="BG24" s="99"/>
      <c r="BH24" s="98"/>
      <c r="BI24" s="99"/>
      <c r="BJ24" s="99"/>
      <c r="BK24" s="99"/>
      <c r="BL24" s="98"/>
      <c r="BM24" s="99"/>
      <c r="BN24" s="98"/>
      <c r="BO24" s="99"/>
      <c r="BP24" s="99"/>
      <c r="BQ24" s="110"/>
      <c r="BR24" s="105"/>
      <c r="BS24" s="105"/>
      <c r="BT24" s="105"/>
      <c r="BU24" s="105"/>
      <c r="BV24" s="105"/>
      <c r="BW24" s="105"/>
      <c r="BX24" s="105"/>
      <c r="BY24" s="105"/>
      <c r="BZ24" s="105"/>
      <c r="CA24" s="105"/>
      <c r="CB24" s="105"/>
      <c r="CC24" s="105"/>
      <c r="CD24" s="105"/>
      <c r="CE24" s="105"/>
      <c r="CF24" s="105"/>
      <c r="CG24" s="105"/>
      <c r="CH24" s="105"/>
      <c r="CI24" s="105"/>
      <c r="CJ24" s="105"/>
      <c r="CK24" s="105"/>
      <c r="CL24" s="105"/>
      <c r="CM24" s="105"/>
      <c r="CN24" s="105"/>
      <c r="CO24" s="105"/>
      <c r="CP24" s="105"/>
      <c r="CQ24" s="105"/>
      <c r="CR24" s="105"/>
      <c r="CS24" s="105"/>
      <c r="CT24" s="105"/>
      <c r="CU24" s="105"/>
      <c r="CV24" s="112"/>
      <c r="CW24" s="99"/>
      <c r="CX24" s="99"/>
      <c r="CY24" s="99"/>
      <c r="CZ24" s="98"/>
      <c r="DA24" s="99"/>
      <c r="DB24" s="99"/>
      <c r="DC24" s="99"/>
      <c r="DD24" s="98"/>
      <c r="DE24" s="99"/>
      <c r="DF24" s="99"/>
      <c r="DG24" s="99"/>
      <c r="DH24" s="98"/>
      <c r="DI24" s="99"/>
      <c r="DJ24" s="99"/>
      <c r="DK24" s="99"/>
      <c r="DL24" s="98"/>
      <c r="DM24" s="102"/>
      <c r="DN24" s="102"/>
      <c r="DO24" s="102"/>
      <c r="DP24" s="88"/>
      <c r="EN24" s="71" t="s">
        <v>92</v>
      </c>
      <c r="FK24" s="93"/>
      <c r="FL24" s="92"/>
      <c r="FM24" s="92"/>
      <c r="FN24" s="92"/>
      <c r="FO24" s="99"/>
      <c r="FP24" s="98"/>
      <c r="FQ24" s="99"/>
      <c r="FR24" s="99"/>
      <c r="FS24" s="99"/>
      <c r="FT24" s="98"/>
      <c r="FU24" s="99"/>
      <c r="FV24" s="99"/>
      <c r="FW24" s="99"/>
      <c r="FX24" s="98"/>
      <c r="FY24" s="99"/>
      <c r="FZ24" s="99"/>
      <c r="GA24" s="92"/>
      <c r="GB24" s="91"/>
      <c r="GC24" s="94"/>
    </row>
    <row r="25" spans="1:185" s="71" customFormat="1" ht="9.75" customHeight="1" thickBot="1" x14ac:dyDescent="0.25">
      <c r="A25" s="6">
        <v>206.7</v>
      </c>
      <c r="B25" s="103"/>
      <c r="C25" s="92"/>
      <c r="D25" s="95"/>
      <c r="G25" s="91"/>
      <c r="H25" s="92"/>
      <c r="I25" s="92"/>
      <c r="J25" s="92"/>
      <c r="K25" s="91"/>
      <c r="L25" s="92"/>
      <c r="M25" s="92"/>
      <c r="N25" s="92"/>
      <c r="O25" s="91"/>
      <c r="P25" s="92"/>
      <c r="Q25" s="92"/>
      <c r="R25" s="88"/>
      <c r="AH25" s="114" t="s">
        <v>81</v>
      </c>
      <c r="AW25" s="93"/>
      <c r="AX25" s="99"/>
      <c r="AY25" s="99"/>
      <c r="AZ25" s="101"/>
      <c r="BA25" s="92"/>
      <c r="BB25" s="92"/>
      <c r="BC25" s="91"/>
      <c r="BD25" s="92"/>
      <c r="BE25" s="92"/>
      <c r="BF25" s="92"/>
      <c r="BG25" s="91"/>
      <c r="BH25" s="92"/>
      <c r="BI25" s="92"/>
      <c r="BJ25" s="92"/>
      <c r="BK25" s="91"/>
      <c r="BL25" s="92"/>
      <c r="BM25" s="92"/>
      <c r="BO25" s="89"/>
      <c r="BQ25" s="88"/>
      <c r="CF25" s="114" t="s">
        <v>86</v>
      </c>
      <c r="CV25" s="93"/>
      <c r="CW25" s="92"/>
      <c r="CX25" s="92"/>
      <c r="CY25" s="91"/>
      <c r="CZ25" s="92"/>
      <c r="DA25" s="92"/>
      <c r="DB25" s="92"/>
      <c r="DC25" s="91"/>
      <c r="DD25" s="92"/>
      <c r="DE25" s="92"/>
      <c r="DF25" s="92"/>
      <c r="DG25" s="91"/>
      <c r="DH25" s="92"/>
      <c r="DI25" s="92"/>
      <c r="DJ25" s="92"/>
      <c r="DK25" s="91"/>
      <c r="DL25" s="92"/>
      <c r="DM25" s="98"/>
      <c r="DN25" s="99"/>
      <c r="DO25" s="99"/>
      <c r="DP25" s="88"/>
      <c r="EN25" s="71" t="s">
        <v>93</v>
      </c>
      <c r="FK25" s="93"/>
      <c r="FL25" s="92"/>
      <c r="FM25" s="92"/>
      <c r="FN25" s="92"/>
      <c r="FO25" s="91"/>
      <c r="FP25" s="92"/>
      <c r="FQ25" s="92"/>
      <c r="FR25" s="92"/>
      <c r="FS25" s="91"/>
      <c r="FT25" s="92"/>
      <c r="FU25" s="92"/>
      <c r="FV25" s="92"/>
      <c r="FW25" s="91"/>
      <c r="FX25" s="92"/>
      <c r="FY25" s="92"/>
      <c r="FZ25" s="92"/>
      <c r="GA25" s="91"/>
      <c r="GB25" s="92"/>
      <c r="GC25" s="94"/>
    </row>
    <row r="26" spans="1:185" s="71" customFormat="1" ht="9.75" customHeight="1" thickBot="1" x14ac:dyDescent="0.25">
      <c r="A26" s="6">
        <v>200</v>
      </c>
      <c r="B26" s="103"/>
      <c r="C26" s="95"/>
      <c r="D26" s="92"/>
      <c r="E26" s="99"/>
      <c r="F26" s="99"/>
      <c r="G26" s="92"/>
      <c r="H26" s="91"/>
      <c r="I26" s="92"/>
      <c r="J26" s="92"/>
      <c r="K26" s="92"/>
      <c r="L26" s="91"/>
      <c r="M26" s="92"/>
      <c r="N26" s="92"/>
      <c r="P26" s="89"/>
      <c r="R26" s="88"/>
      <c r="AH26" s="71" t="s">
        <v>88</v>
      </c>
      <c r="AW26" s="93"/>
      <c r="AX26" s="92"/>
      <c r="AY26" s="92"/>
      <c r="AZ26" s="91"/>
      <c r="BA26" s="92"/>
      <c r="BB26" s="92"/>
      <c r="BC26" s="92"/>
      <c r="BD26" s="91"/>
      <c r="BE26" s="92"/>
      <c r="BF26" s="92"/>
      <c r="BG26" s="92"/>
      <c r="BH26" s="91"/>
      <c r="BI26" s="92"/>
      <c r="BJ26" s="92"/>
      <c r="BK26" s="92"/>
      <c r="BL26" s="91"/>
      <c r="BM26" s="92"/>
      <c r="BN26" s="98"/>
      <c r="BO26" s="99"/>
      <c r="BP26" s="99"/>
      <c r="BQ26" s="88"/>
      <c r="CF26" s="71" t="s">
        <v>90</v>
      </c>
      <c r="CV26" s="93"/>
      <c r="CW26" s="92"/>
      <c r="CX26" s="92"/>
      <c r="CY26" s="92"/>
      <c r="CZ26" s="91"/>
      <c r="DA26" s="92"/>
      <c r="DB26" s="92"/>
      <c r="DC26" s="92"/>
      <c r="DD26" s="91"/>
      <c r="DE26" s="92"/>
      <c r="DF26" s="92"/>
      <c r="DG26" s="92"/>
      <c r="DH26" s="91"/>
      <c r="DI26" s="92"/>
      <c r="DJ26" s="92"/>
      <c r="DK26" s="92"/>
      <c r="DL26" s="91"/>
      <c r="DM26" s="92"/>
      <c r="DN26" s="92"/>
      <c r="DO26" s="92"/>
      <c r="DP26" s="88"/>
      <c r="FK26" s="93"/>
      <c r="FO26" s="92"/>
      <c r="FP26" s="91"/>
      <c r="FQ26" s="92"/>
      <c r="FR26" s="92"/>
      <c r="FS26" s="92"/>
      <c r="FT26" s="91"/>
      <c r="FU26" s="92"/>
      <c r="FV26" s="92"/>
      <c r="FW26" s="92"/>
      <c r="FX26" s="91"/>
      <c r="FY26" s="92"/>
      <c r="FZ26" s="92"/>
      <c r="GB26" s="89"/>
      <c r="GC26" s="93"/>
    </row>
    <row r="27" spans="1:185" s="71" customFormat="1" ht="9.75" customHeight="1" thickBot="1" x14ac:dyDescent="0.25">
      <c r="A27" s="6">
        <v>193.3</v>
      </c>
      <c r="B27" s="103"/>
      <c r="C27" s="92"/>
      <c r="D27" s="95"/>
      <c r="E27" s="92"/>
      <c r="F27" s="92"/>
      <c r="G27" s="92"/>
      <c r="H27" s="92"/>
      <c r="I27" s="91"/>
      <c r="J27" s="92"/>
      <c r="K27" s="92"/>
      <c r="L27" s="92"/>
      <c r="M27" s="91"/>
      <c r="N27" s="92"/>
      <c r="O27" s="98"/>
      <c r="P27" s="99"/>
      <c r="Q27" s="99"/>
      <c r="R27" s="88"/>
      <c r="AH27" s="71" t="s">
        <v>89</v>
      </c>
      <c r="AW27" s="93"/>
      <c r="AX27" s="92"/>
      <c r="AY27" s="92"/>
      <c r="AZ27" s="92"/>
      <c r="BA27" s="91"/>
      <c r="BB27" s="92"/>
      <c r="BC27" s="92"/>
      <c r="BD27" s="92"/>
      <c r="BE27" s="91"/>
      <c r="BF27" s="92"/>
      <c r="BG27" s="92"/>
      <c r="BH27" s="92"/>
      <c r="BI27" s="91"/>
      <c r="BJ27" s="92"/>
      <c r="BK27" s="92"/>
      <c r="BL27" s="92"/>
      <c r="BM27" s="91"/>
      <c r="BQ27" s="88"/>
      <c r="CF27" s="71" t="s">
        <v>89</v>
      </c>
      <c r="CV27" s="93"/>
      <c r="CW27" s="92"/>
      <c r="CX27" s="92"/>
      <c r="CY27" s="92"/>
      <c r="CZ27" s="92"/>
      <c r="DA27" s="91"/>
      <c r="DB27" s="92"/>
      <c r="DC27" s="92"/>
      <c r="DD27" s="92"/>
      <c r="DE27" s="91"/>
      <c r="DF27" s="92"/>
      <c r="DG27" s="92"/>
      <c r="DH27" s="92"/>
      <c r="DI27" s="91"/>
      <c r="DJ27" s="92"/>
      <c r="DK27" s="92"/>
      <c r="DL27" s="92"/>
      <c r="DM27" s="91"/>
      <c r="DN27" s="92"/>
      <c r="DO27" s="92"/>
      <c r="DP27" s="88"/>
      <c r="FK27" s="93"/>
      <c r="FL27" s="99"/>
      <c r="FM27" s="99"/>
      <c r="FN27" s="101"/>
      <c r="FO27" s="92"/>
      <c r="FP27" s="92"/>
      <c r="FQ27" s="91"/>
      <c r="FR27" s="92"/>
      <c r="FS27" s="92"/>
      <c r="FT27" s="92"/>
      <c r="FU27" s="91"/>
      <c r="FV27" s="92"/>
      <c r="FW27" s="92"/>
      <c r="FX27" s="92"/>
      <c r="FY27" s="91"/>
      <c r="FZ27" s="92"/>
      <c r="GA27" s="98"/>
      <c r="GB27" s="99"/>
      <c r="GC27" s="100"/>
    </row>
    <row r="28" spans="1:185" s="71" customFormat="1" ht="9.75" customHeight="1" thickBot="1" x14ac:dyDescent="0.25">
      <c r="A28" s="6">
        <v>186.7</v>
      </c>
      <c r="B28" s="107"/>
      <c r="C28" s="101"/>
      <c r="D28" s="99"/>
      <c r="E28" s="99"/>
      <c r="F28" s="99"/>
      <c r="G28" s="99"/>
      <c r="H28" s="98"/>
      <c r="I28" s="99"/>
      <c r="J28" s="99"/>
      <c r="K28" s="99"/>
      <c r="L28" s="98"/>
      <c r="M28" s="99"/>
      <c r="N28" s="99"/>
      <c r="O28" s="92"/>
      <c r="P28" s="91"/>
      <c r="Q28" s="92"/>
      <c r="R28" s="88"/>
      <c r="AH28" s="71" t="s">
        <v>82</v>
      </c>
      <c r="AW28" s="93"/>
      <c r="AX28" s="102"/>
      <c r="AY28" s="102"/>
      <c r="AZ28" s="106"/>
      <c r="BA28" s="99"/>
      <c r="BB28" s="99"/>
      <c r="BC28" s="99"/>
      <c r="BD28" s="98"/>
      <c r="BE28" s="99"/>
      <c r="BF28" s="99"/>
      <c r="BG28" s="99"/>
      <c r="BH28" s="98"/>
      <c r="BI28" s="99"/>
      <c r="BJ28" s="99"/>
      <c r="BK28" s="99"/>
      <c r="BL28" s="98"/>
      <c r="BM28" s="99"/>
      <c r="BN28" s="98"/>
      <c r="BO28" s="99"/>
      <c r="BP28" s="99"/>
      <c r="BQ28" s="88"/>
      <c r="CF28" s="71" t="s">
        <v>82</v>
      </c>
      <c r="CV28" s="93"/>
      <c r="CW28" s="99"/>
      <c r="CX28" s="99"/>
      <c r="CY28" s="99"/>
      <c r="CZ28" s="98"/>
      <c r="DA28" s="99"/>
      <c r="DB28" s="99"/>
      <c r="DC28" s="99"/>
      <c r="DD28" s="98"/>
      <c r="DE28" s="99"/>
      <c r="DF28" s="99"/>
      <c r="DG28" s="99"/>
      <c r="DH28" s="98"/>
      <c r="DI28" s="99"/>
      <c r="DJ28" s="99"/>
      <c r="DK28" s="99"/>
      <c r="DL28" s="98"/>
      <c r="DM28" s="102"/>
      <c r="DN28" s="102"/>
      <c r="DO28" s="102"/>
      <c r="DP28" s="88"/>
      <c r="FK28" s="93"/>
      <c r="FL28" s="92"/>
      <c r="FM28" s="92"/>
      <c r="FN28" s="92"/>
      <c r="FO28" s="99"/>
      <c r="FP28" s="98"/>
      <c r="FQ28" s="99"/>
      <c r="FR28" s="99"/>
      <c r="FS28" s="99"/>
      <c r="FT28" s="98"/>
      <c r="FU28" s="99"/>
      <c r="FV28" s="99"/>
      <c r="FW28" s="99"/>
      <c r="FX28" s="98"/>
      <c r="FY28" s="99"/>
      <c r="FZ28" s="99"/>
      <c r="GA28" s="92"/>
      <c r="GB28" s="91"/>
      <c r="GC28" s="94"/>
    </row>
    <row r="29" spans="1:185" s="71" customFormat="1" ht="9.75" customHeight="1" thickBot="1" x14ac:dyDescent="0.25">
      <c r="A29" s="6">
        <v>180</v>
      </c>
      <c r="B29" s="103"/>
      <c r="C29" s="92"/>
      <c r="D29" s="95"/>
      <c r="G29" s="91"/>
      <c r="H29" s="92"/>
      <c r="I29" s="92"/>
      <c r="J29" s="92"/>
      <c r="K29" s="91"/>
      <c r="L29" s="92"/>
      <c r="M29" s="92"/>
      <c r="N29" s="92"/>
      <c r="O29" s="91"/>
      <c r="P29" s="92"/>
      <c r="Q29" s="92"/>
      <c r="R29" s="88"/>
      <c r="AW29" s="93"/>
      <c r="AX29" s="99"/>
      <c r="AY29" s="99"/>
      <c r="AZ29" s="101"/>
      <c r="BA29" s="92"/>
      <c r="BB29" s="92"/>
      <c r="BC29" s="91"/>
      <c r="BD29" s="92"/>
      <c r="BE29" s="92"/>
      <c r="BF29" s="92"/>
      <c r="BG29" s="91"/>
      <c r="BH29" s="92"/>
      <c r="BI29" s="92"/>
      <c r="BJ29" s="92"/>
      <c r="BK29" s="91"/>
      <c r="BL29" s="92"/>
      <c r="BM29" s="92"/>
      <c r="BO29" s="89"/>
      <c r="BQ29" s="88"/>
      <c r="CV29" s="93"/>
      <c r="CW29" s="92"/>
      <c r="CX29" s="92"/>
      <c r="CY29" s="91"/>
      <c r="CZ29" s="92"/>
      <c r="DA29" s="92"/>
      <c r="DB29" s="92"/>
      <c r="DC29" s="91"/>
      <c r="DD29" s="92"/>
      <c r="DE29" s="92"/>
      <c r="DF29" s="92"/>
      <c r="DG29" s="91"/>
      <c r="DH29" s="92"/>
      <c r="DI29" s="92"/>
      <c r="DJ29" s="92"/>
      <c r="DK29" s="91"/>
      <c r="DL29" s="92"/>
      <c r="DM29" s="98"/>
      <c r="DN29" s="99"/>
      <c r="DO29" s="99"/>
      <c r="DP29" s="88"/>
      <c r="FK29" s="93"/>
      <c r="FL29" s="92"/>
      <c r="FM29" s="92"/>
      <c r="FN29" s="92"/>
      <c r="FO29" s="91"/>
      <c r="FP29" s="92"/>
      <c r="FQ29" s="92"/>
      <c r="FR29" s="92"/>
      <c r="FS29" s="91"/>
      <c r="FT29" s="92"/>
      <c r="FU29" s="92"/>
      <c r="FV29" s="92"/>
      <c r="FW29" s="91"/>
      <c r="FX29" s="92"/>
      <c r="FY29" s="92"/>
      <c r="FZ29" s="92"/>
      <c r="GA29" s="91"/>
      <c r="GB29" s="92"/>
      <c r="GC29" s="94"/>
    </row>
    <row r="30" spans="1:185" s="71" customFormat="1" ht="9.75" customHeight="1" thickBot="1" x14ac:dyDescent="0.25">
      <c r="A30" s="6">
        <v>173.3</v>
      </c>
      <c r="B30" s="103"/>
      <c r="C30" s="95"/>
      <c r="D30" s="92"/>
      <c r="E30" s="99"/>
      <c r="F30" s="99"/>
      <c r="G30" s="92"/>
      <c r="H30" s="91"/>
      <c r="I30" s="92"/>
      <c r="J30" s="92"/>
      <c r="K30" s="92"/>
      <c r="L30" s="91"/>
      <c r="M30" s="92"/>
      <c r="N30" s="92"/>
      <c r="P30" s="89"/>
      <c r="R30" s="88"/>
      <c r="AW30" s="93"/>
      <c r="AX30" s="92"/>
      <c r="AY30" s="92"/>
      <c r="AZ30" s="91"/>
      <c r="BA30" s="92"/>
      <c r="BB30" s="92"/>
      <c r="BC30" s="92"/>
      <c r="BD30" s="91"/>
      <c r="BE30" s="92"/>
      <c r="BF30" s="92"/>
      <c r="BG30" s="92"/>
      <c r="BH30" s="91"/>
      <c r="BI30" s="92"/>
      <c r="BJ30" s="92"/>
      <c r="BK30" s="92"/>
      <c r="BL30" s="91"/>
      <c r="BM30" s="92"/>
      <c r="BN30" s="98"/>
      <c r="BO30" s="99"/>
      <c r="BP30" s="99"/>
      <c r="BQ30" s="88"/>
      <c r="CV30" s="93"/>
      <c r="CW30" s="92"/>
      <c r="CX30" s="92"/>
      <c r="CY30" s="92"/>
      <c r="CZ30" s="91"/>
      <c r="DA30" s="92"/>
      <c r="DB30" s="92"/>
      <c r="DC30" s="92"/>
      <c r="DD30" s="91"/>
      <c r="DE30" s="92"/>
      <c r="DF30" s="92"/>
      <c r="DG30" s="92"/>
      <c r="DH30" s="91"/>
      <c r="DI30" s="92"/>
      <c r="DJ30" s="92"/>
      <c r="DK30" s="92"/>
      <c r="DL30" s="91"/>
      <c r="DM30" s="92"/>
      <c r="DN30" s="92"/>
      <c r="DO30" s="92"/>
      <c r="DP30" s="88"/>
      <c r="FK30" s="93"/>
      <c r="FO30" s="92"/>
      <c r="FP30" s="91"/>
      <c r="FQ30" s="92"/>
      <c r="FR30" s="92"/>
      <c r="FS30" s="92"/>
      <c r="FT30" s="91"/>
      <c r="FU30" s="92"/>
      <c r="FV30" s="92"/>
      <c r="FW30" s="92"/>
      <c r="FX30" s="91"/>
      <c r="FY30" s="92"/>
      <c r="FZ30" s="92"/>
      <c r="GB30" s="89"/>
      <c r="GC30" s="93"/>
    </row>
    <row r="31" spans="1:185" s="71" customFormat="1" ht="9.75" customHeight="1" thickBot="1" x14ac:dyDescent="0.25">
      <c r="A31" s="6">
        <v>166.7</v>
      </c>
      <c r="B31" s="103"/>
      <c r="C31" s="92"/>
      <c r="D31" s="95"/>
      <c r="E31" s="92"/>
      <c r="F31" s="92"/>
      <c r="G31" s="92"/>
      <c r="H31" s="92"/>
      <c r="I31" s="91"/>
      <c r="J31" s="92"/>
      <c r="K31" s="92"/>
      <c r="L31" s="92"/>
      <c r="M31" s="91"/>
      <c r="N31" s="92"/>
      <c r="O31" s="98"/>
      <c r="P31" s="99"/>
      <c r="Q31" s="99"/>
      <c r="R31" s="88"/>
      <c r="AW31" s="93"/>
      <c r="AX31" s="92"/>
      <c r="AY31" s="92"/>
      <c r="AZ31" s="92"/>
      <c r="BA31" s="91"/>
      <c r="BB31" s="92"/>
      <c r="BC31" s="92"/>
      <c r="BD31" s="92"/>
      <c r="BE31" s="91"/>
      <c r="BF31" s="92"/>
      <c r="BG31" s="92"/>
      <c r="BH31" s="92"/>
      <c r="BI31" s="91"/>
      <c r="BJ31" s="92"/>
      <c r="BK31" s="92"/>
      <c r="BL31" s="92"/>
      <c r="BM31" s="91"/>
      <c r="BQ31" s="88"/>
      <c r="CV31" s="93"/>
      <c r="CW31" s="92"/>
      <c r="CX31" s="92"/>
      <c r="CY31" s="92"/>
      <c r="CZ31" s="92"/>
      <c r="DA31" s="91"/>
      <c r="DB31" s="92"/>
      <c r="DC31" s="92"/>
      <c r="DD31" s="92"/>
      <c r="DE31" s="91"/>
      <c r="DF31" s="92"/>
      <c r="DG31" s="92"/>
      <c r="DH31" s="92"/>
      <c r="DI31" s="91"/>
      <c r="DJ31" s="92"/>
      <c r="DK31" s="92"/>
      <c r="DL31" s="92"/>
      <c r="DM31" s="91"/>
      <c r="DN31" s="92"/>
      <c r="DO31" s="92"/>
      <c r="DP31" s="88"/>
      <c r="FK31" s="93"/>
      <c r="FL31" s="99"/>
      <c r="FM31" s="99"/>
      <c r="FN31" s="101"/>
      <c r="FO31" s="92"/>
      <c r="FP31" s="92"/>
      <c r="FQ31" s="91"/>
      <c r="FR31" s="92"/>
      <c r="FS31" s="92"/>
      <c r="FT31" s="92"/>
      <c r="FU31" s="91"/>
      <c r="FV31" s="92"/>
      <c r="FW31" s="92"/>
      <c r="FX31" s="92"/>
      <c r="FY31" s="91"/>
      <c r="FZ31" s="92"/>
      <c r="GA31" s="98"/>
      <c r="GB31" s="99"/>
      <c r="GC31" s="100"/>
    </row>
    <row r="32" spans="1:185" s="71" customFormat="1" ht="9.75" customHeight="1" thickBot="1" x14ac:dyDescent="0.25">
      <c r="A32" s="6">
        <v>160</v>
      </c>
      <c r="B32" s="107"/>
      <c r="C32" s="101"/>
      <c r="D32" s="99"/>
      <c r="E32" s="99"/>
      <c r="F32" s="99"/>
      <c r="G32" s="99"/>
      <c r="H32" s="98"/>
      <c r="I32" s="99"/>
      <c r="J32" s="99"/>
      <c r="K32" s="99"/>
      <c r="L32" s="98"/>
      <c r="M32" s="99"/>
      <c r="N32" s="99"/>
      <c r="O32" s="92"/>
      <c r="P32" s="91"/>
      <c r="Q32" s="92"/>
      <c r="R32" s="88"/>
      <c r="AW32" s="93"/>
      <c r="AX32" s="102"/>
      <c r="AY32" s="102"/>
      <c r="AZ32" s="106"/>
      <c r="BA32" s="99"/>
      <c r="BB32" s="99"/>
      <c r="BC32" s="99"/>
      <c r="BD32" s="98"/>
      <c r="BE32" s="99"/>
      <c r="BF32" s="99"/>
      <c r="BG32" s="99"/>
      <c r="BH32" s="98"/>
      <c r="BI32" s="99"/>
      <c r="BJ32" s="99"/>
      <c r="BK32" s="99"/>
      <c r="BL32" s="98"/>
      <c r="BM32" s="99"/>
      <c r="BN32" s="98"/>
      <c r="BO32" s="99"/>
      <c r="BP32" s="99"/>
      <c r="BQ32" s="88"/>
      <c r="CV32" s="93"/>
      <c r="CW32" s="99"/>
      <c r="CX32" s="99"/>
      <c r="CY32" s="99"/>
      <c r="CZ32" s="98"/>
      <c r="DA32" s="99"/>
      <c r="DB32" s="99"/>
      <c r="DC32" s="99"/>
      <c r="DD32" s="98"/>
      <c r="DE32" s="99"/>
      <c r="DF32" s="99"/>
      <c r="DG32" s="99"/>
      <c r="DH32" s="98"/>
      <c r="DI32" s="99"/>
      <c r="DJ32" s="99"/>
      <c r="DK32" s="99"/>
      <c r="DL32" s="98"/>
      <c r="DM32" s="102"/>
      <c r="DN32" s="102"/>
      <c r="DO32" s="102"/>
      <c r="DP32" s="88"/>
      <c r="FK32" s="93"/>
      <c r="FL32" s="92"/>
      <c r="FM32" s="92"/>
      <c r="FN32" s="92"/>
      <c r="FO32" s="99"/>
      <c r="FP32" s="98"/>
      <c r="FQ32" s="99"/>
      <c r="FR32" s="99"/>
      <c r="FS32" s="99"/>
      <c r="FT32" s="98"/>
      <c r="FU32" s="99"/>
      <c r="FV32" s="99"/>
      <c r="FW32" s="99"/>
      <c r="FX32" s="98"/>
      <c r="FY32" s="99"/>
      <c r="FZ32" s="99"/>
      <c r="GA32" s="92"/>
      <c r="GB32" s="91"/>
      <c r="GC32" s="94"/>
    </row>
    <row r="33" spans="1:185" s="71" customFormat="1" ht="9.75" customHeight="1" thickBot="1" x14ac:dyDescent="0.25">
      <c r="A33" s="6">
        <v>153.30000000000001</v>
      </c>
      <c r="B33" s="103"/>
      <c r="C33" s="92"/>
      <c r="D33" s="95"/>
      <c r="G33" s="91"/>
      <c r="H33" s="92"/>
      <c r="I33" s="92"/>
      <c r="J33" s="92"/>
      <c r="K33" s="91"/>
      <c r="L33" s="92"/>
      <c r="M33" s="92"/>
      <c r="N33" s="92"/>
      <c r="O33" s="91"/>
      <c r="P33" s="92"/>
      <c r="Q33" s="92"/>
      <c r="R33" s="88"/>
      <c r="AW33" s="93"/>
      <c r="AX33" s="99"/>
      <c r="AY33" s="99"/>
      <c r="AZ33" s="101"/>
      <c r="BA33" s="92"/>
      <c r="BB33" s="92"/>
      <c r="BC33" s="91"/>
      <c r="BD33" s="92"/>
      <c r="BE33" s="92"/>
      <c r="BF33" s="92"/>
      <c r="BG33" s="91"/>
      <c r="BH33" s="92"/>
      <c r="BI33" s="92"/>
      <c r="BJ33" s="92"/>
      <c r="BK33" s="91"/>
      <c r="BL33" s="92"/>
      <c r="BM33" s="92"/>
      <c r="BO33" s="89"/>
      <c r="BQ33" s="88"/>
      <c r="CV33" s="93"/>
      <c r="CW33" s="92"/>
      <c r="CX33" s="92"/>
      <c r="CY33" s="91"/>
      <c r="CZ33" s="92"/>
      <c r="DA33" s="92"/>
      <c r="DB33" s="92"/>
      <c r="DC33" s="91"/>
      <c r="DD33" s="92"/>
      <c r="DE33" s="92"/>
      <c r="DF33" s="92"/>
      <c r="DG33" s="91"/>
      <c r="DH33" s="92"/>
      <c r="DI33" s="92"/>
      <c r="DJ33" s="92"/>
      <c r="DK33" s="91"/>
      <c r="DL33" s="92"/>
      <c r="DM33" s="98"/>
      <c r="DN33" s="99"/>
      <c r="DO33" s="99"/>
      <c r="DP33" s="88"/>
      <c r="FK33" s="93"/>
      <c r="FL33" s="92"/>
      <c r="FM33" s="92"/>
      <c r="FN33" s="92"/>
      <c r="FO33" s="91"/>
      <c r="FP33" s="92"/>
      <c r="FQ33" s="92"/>
      <c r="FR33" s="92"/>
      <c r="FS33" s="91"/>
      <c r="FT33" s="92"/>
      <c r="FU33" s="92"/>
      <c r="FV33" s="92"/>
      <c r="FW33" s="91"/>
      <c r="FX33" s="92"/>
      <c r="FY33" s="92"/>
      <c r="FZ33" s="92"/>
      <c r="GA33" s="91"/>
      <c r="GB33" s="92"/>
      <c r="GC33" s="94"/>
    </row>
    <row r="34" spans="1:185" s="71" customFormat="1" ht="9.75" customHeight="1" thickBot="1" x14ac:dyDescent="0.25">
      <c r="A34" s="6">
        <v>146.69999999999999</v>
      </c>
      <c r="B34" s="103"/>
      <c r="C34" s="95"/>
      <c r="D34" s="92"/>
      <c r="E34" s="99"/>
      <c r="F34" s="99"/>
      <c r="G34" s="92"/>
      <c r="H34" s="91"/>
      <c r="I34" s="92"/>
      <c r="J34" s="92"/>
      <c r="K34" s="92"/>
      <c r="L34" s="91"/>
      <c r="M34" s="92"/>
      <c r="N34" s="92"/>
      <c r="P34" s="89"/>
      <c r="R34" s="88"/>
      <c r="AW34" s="93"/>
      <c r="AX34" s="92"/>
      <c r="AY34" s="92"/>
      <c r="AZ34" s="91"/>
      <c r="BA34" s="92"/>
      <c r="BB34" s="92"/>
      <c r="BC34" s="92"/>
      <c r="BD34" s="91"/>
      <c r="BE34" s="92"/>
      <c r="BF34" s="92"/>
      <c r="BG34" s="92"/>
      <c r="BH34" s="91"/>
      <c r="BI34" s="92"/>
      <c r="BJ34" s="92"/>
      <c r="BK34" s="92"/>
      <c r="BL34" s="91"/>
      <c r="BM34" s="92"/>
      <c r="BN34" s="98"/>
      <c r="BO34" s="99"/>
      <c r="BP34" s="99"/>
      <c r="BQ34" s="88"/>
      <c r="CV34" s="93"/>
      <c r="CW34" s="92"/>
      <c r="CX34" s="92"/>
      <c r="CY34" s="92"/>
      <c r="CZ34" s="91"/>
      <c r="DA34" s="92"/>
      <c r="DB34" s="92"/>
      <c r="DC34" s="92"/>
      <c r="DD34" s="91"/>
      <c r="DE34" s="92"/>
      <c r="DF34" s="92"/>
      <c r="DG34" s="92"/>
      <c r="DH34" s="91"/>
      <c r="DI34" s="92"/>
      <c r="DJ34" s="92"/>
      <c r="DK34" s="92"/>
      <c r="DL34" s="91"/>
      <c r="DM34" s="92"/>
      <c r="DN34" s="92"/>
      <c r="DO34" s="92"/>
      <c r="DP34" s="88"/>
      <c r="FK34" s="93"/>
      <c r="FO34" s="92"/>
      <c r="FP34" s="91"/>
      <c r="FQ34" s="92"/>
      <c r="FR34" s="92"/>
      <c r="FS34" s="92"/>
      <c r="FT34" s="91"/>
      <c r="FU34" s="92"/>
      <c r="FV34" s="92"/>
      <c r="FW34" s="92"/>
      <c r="FX34" s="91"/>
      <c r="FY34" s="92"/>
      <c r="FZ34" s="92"/>
      <c r="GB34" s="89"/>
      <c r="GC34" s="93"/>
    </row>
    <row r="35" spans="1:185" s="71" customFormat="1" ht="9.75" customHeight="1" thickBot="1" x14ac:dyDescent="0.25">
      <c r="A35" s="6">
        <v>140</v>
      </c>
      <c r="B35" s="103"/>
      <c r="C35" s="92"/>
      <c r="D35" s="95"/>
      <c r="E35" s="92"/>
      <c r="F35" s="92"/>
      <c r="G35" s="92"/>
      <c r="H35" s="92"/>
      <c r="I35" s="91"/>
      <c r="J35" s="92"/>
      <c r="K35" s="92"/>
      <c r="L35" s="92"/>
      <c r="M35" s="91"/>
      <c r="N35" s="92"/>
      <c r="O35" s="98"/>
      <c r="P35" s="99"/>
      <c r="Q35" s="99"/>
      <c r="R35" s="88"/>
      <c r="AW35" s="93"/>
      <c r="AX35" s="92"/>
      <c r="AY35" s="92"/>
      <c r="AZ35" s="92"/>
      <c r="BA35" s="91"/>
      <c r="BB35" s="92"/>
      <c r="BC35" s="92"/>
      <c r="BD35" s="92"/>
      <c r="BE35" s="91"/>
      <c r="BF35" s="92"/>
      <c r="BG35" s="92"/>
      <c r="BH35" s="92"/>
      <c r="BI35" s="91"/>
      <c r="BJ35" s="92"/>
      <c r="BK35" s="92"/>
      <c r="BL35" s="92"/>
      <c r="BM35" s="91"/>
      <c r="BQ35" s="88"/>
      <c r="CV35" s="93"/>
      <c r="CW35" s="92"/>
      <c r="CX35" s="92"/>
      <c r="CY35" s="92"/>
      <c r="CZ35" s="92"/>
      <c r="DA35" s="91"/>
      <c r="DB35" s="92"/>
      <c r="DC35" s="92"/>
      <c r="DD35" s="92"/>
      <c r="DE35" s="91"/>
      <c r="DF35" s="92"/>
      <c r="DG35" s="92"/>
      <c r="DH35" s="92"/>
      <c r="DI35" s="91"/>
      <c r="DJ35" s="92"/>
      <c r="DK35" s="92"/>
      <c r="DL35" s="92"/>
      <c r="DM35" s="91"/>
      <c r="DN35" s="92"/>
      <c r="DO35" s="92"/>
      <c r="DP35" s="88"/>
      <c r="FK35" s="93"/>
      <c r="FL35" s="99"/>
      <c r="FM35" s="99"/>
      <c r="FN35" s="101"/>
      <c r="FO35" s="92"/>
      <c r="FP35" s="92"/>
      <c r="FQ35" s="91"/>
      <c r="FR35" s="92"/>
      <c r="FS35" s="92"/>
      <c r="FT35" s="92"/>
      <c r="FU35" s="91"/>
      <c r="FV35" s="92"/>
      <c r="FW35" s="92"/>
      <c r="FX35" s="92"/>
      <c r="FY35" s="91"/>
      <c r="FZ35" s="92"/>
      <c r="GA35" s="98"/>
      <c r="GB35" s="99"/>
      <c r="GC35" s="100"/>
    </row>
    <row r="36" spans="1:185" s="71" customFormat="1" ht="9.75" customHeight="1" thickBot="1" x14ac:dyDescent="0.25">
      <c r="A36" s="6">
        <v>133.30000000000001</v>
      </c>
      <c r="B36" s="107"/>
      <c r="C36" s="101"/>
      <c r="D36" s="99"/>
      <c r="E36" s="99"/>
      <c r="F36" s="99"/>
      <c r="G36" s="99"/>
      <c r="H36" s="98"/>
      <c r="I36" s="99"/>
      <c r="J36" s="99"/>
      <c r="K36" s="99"/>
      <c r="L36" s="98"/>
      <c r="M36" s="99"/>
      <c r="N36" s="99"/>
      <c r="O36" s="92"/>
      <c r="P36" s="91"/>
      <c r="Q36" s="92"/>
      <c r="R36" s="88"/>
      <c r="AW36" s="93"/>
      <c r="AX36" s="102"/>
      <c r="AY36" s="102"/>
      <c r="AZ36" s="106"/>
      <c r="BA36" s="99"/>
      <c r="BB36" s="99"/>
      <c r="BC36" s="99"/>
      <c r="BD36" s="98"/>
      <c r="BE36" s="99"/>
      <c r="BF36" s="99"/>
      <c r="BG36" s="99"/>
      <c r="BH36" s="98"/>
      <c r="BI36" s="99"/>
      <c r="BJ36" s="99"/>
      <c r="BK36" s="99"/>
      <c r="BL36" s="98"/>
      <c r="BM36" s="99"/>
      <c r="BN36" s="98"/>
      <c r="BO36" s="99"/>
      <c r="BP36" s="99"/>
      <c r="BQ36" s="88"/>
      <c r="CV36" s="93"/>
      <c r="CW36" s="99"/>
      <c r="CX36" s="99"/>
      <c r="CY36" s="99"/>
      <c r="CZ36" s="98"/>
      <c r="DA36" s="99"/>
      <c r="DB36" s="99"/>
      <c r="DC36" s="99"/>
      <c r="DD36" s="98"/>
      <c r="DE36" s="99"/>
      <c r="DF36" s="99"/>
      <c r="DG36" s="99"/>
      <c r="DH36" s="98"/>
      <c r="DI36" s="99"/>
      <c r="DJ36" s="99"/>
      <c r="DK36" s="99"/>
      <c r="DL36" s="98"/>
      <c r="DM36" s="102"/>
      <c r="DN36" s="102"/>
      <c r="DO36" s="102"/>
      <c r="DP36" s="88"/>
      <c r="FK36" s="93"/>
      <c r="FL36" s="92"/>
      <c r="FM36" s="92"/>
      <c r="FN36" s="92"/>
      <c r="FO36" s="99"/>
      <c r="FP36" s="98"/>
      <c r="FQ36" s="99"/>
      <c r="FR36" s="99"/>
      <c r="FS36" s="99"/>
      <c r="FT36" s="98"/>
      <c r="FU36" s="99"/>
      <c r="FV36" s="99"/>
      <c r="FW36" s="99"/>
      <c r="FX36" s="98"/>
      <c r="FY36" s="99"/>
      <c r="FZ36" s="99"/>
      <c r="GA36" s="92"/>
      <c r="GB36" s="91"/>
      <c r="GC36" s="94"/>
    </row>
    <row r="37" spans="1:185" s="71" customFormat="1" ht="9.75" customHeight="1" thickBot="1" x14ac:dyDescent="0.25">
      <c r="A37" s="6">
        <v>126.7</v>
      </c>
      <c r="B37" s="103"/>
      <c r="C37" s="92"/>
      <c r="D37" s="95"/>
      <c r="G37" s="91"/>
      <c r="H37" s="92"/>
      <c r="I37" s="92"/>
      <c r="J37" s="92"/>
      <c r="K37" s="91"/>
      <c r="L37" s="92"/>
      <c r="M37" s="92"/>
      <c r="N37" s="92"/>
      <c r="O37" s="91"/>
      <c r="P37" s="92"/>
      <c r="Q37" s="92"/>
      <c r="R37" s="88"/>
      <c r="AW37" s="93"/>
      <c r="AX37" s="99"/>
      <c r="AY37" s="99"/>
      <c r="AZ37" s="101"/>
      <c r="BA37" s="92"/>
      <c r="BB37" s="92"/>
      <c r="BC37" s="91"/>
      <c r="BD37" s="92"/>
      <c r="BE37" s="92"/>
      <c r="BF37" s="92"/>
      <c r="BG37" s="91"/>
      <c r="BH37" s="92"/>
      <c r="BI37" s="92"/>
      <c r="BJ37" s="92"/>
      <c r="BK37" s="91"/>
      <c r="BL37" s="92"/>
      <c r="BM37" s="92"/>
      <c r="BO37" s="89"/>
      <c r="BQ37" s="88"/>
      <c r="CV37" s="93"/>
      <c r="CW37" s="92"/>
      <c r="CX37" s="92"/>
      <c r="CY37" s="91"/>
      <c r="CZ37" s="92"/>
      <c r="DA37" s="92"/>
      <c r="DB37" s="92"/>
      <c r="DC37" s="91"/>
      <c r="DD37" s="92"/>
      <c r="DE37" s="92"/>
      <c r="DF37" s="92"/>
      <c r="DG37" s="91"/>
      <c r="DH37" s="92"/>
      <c r="DI37" s="92"/>
      <c r="DJ37" s="92"/>
      <c r="DK37" s="91"/>
      <c r="DL37" s="92"/>
      <c r="DM37" s="98"/>
      <c r="DN37" s="99"/>
      <c r="DO37" s="99"/>
      <c r="DP37" s="88"/>
      <c r="FK37" s="93"/>
      <c r="FL37" s="92"/>
      <c r="FM37" s="92"/>
      <c r="FN37" s="92"/>
      <c r="FO37" s="91"/>
      <c r="FP37" s="92"/>
      <c r="FQ37" s="92"/>
      <c r="FR37" s="92"/>
      <c r="FS37" s="91"/>
      <c r="FT37" s="92"/>
      <c r="FU37" s="92"/>
      <c r="FV37" s="92"/>
      <c r="FW37" s="91"/>
      <c r="FX37" s="92"/>
      <c r="FY37" s="92"/>
      <c r="FZ37" s="92"/>
      <c r="GA37" s="91"/>
      <c r="GB37" s="92"/>
      <c r="GC37" s="94"/>
    </row>
    <row r="38" spans="1:185" s="71" customFormat="1" ht="9.75" customHeight="1" thickBot="1" x14ac:dyDescent="0.25">
      <c r="A38" s="6">
        <v>120</v>
      </c>
      <c r="B38" s="103"/>
      <c r="C38" s="95"/>
      <c r="D38" s="92"/>
      <c r="E38" s="99"/>
      <c r="F38" s="99"/>
      <c r="G38" s="92"/>
      <c r="H38" s="91"/>
      <c r="I38" s="92"/>
      <c r="J38" s="92"/>
      <c r="K38" s="92"/>
      <c r="L38" s="91"/>
      <c r="M38" s="92"/>
      <c r="N38" s="92"/>
      <c r="P38" s="89"/>
      <c r="R38" s="88"/>
      <c r="AW38" s="93"/>
      <c r="AX38" s="92"/>
      <c r="AY38" s="92"/>
      <c r="AZ38" s="91"/>
      <c r="BA38" s="92"/>
      <c r="BB38" s="92"/>
      <c r="BC38" s="92"/>
      <c r="BD38" s="91"/>
      <c r="BE38" s="92"/>
      <c r="BF38" s="92"/>
      <c r="BG38" s="92"/>
      <c r="BH38" s="91"/>
      <c r="BI38" s="92"/>
      <c r="BJ38" s="92"/>
      <c r="BK38" s="92"/>
      <c r="BL38" s="91"/>
      <c r="BM38" s="92"/>
      <c r="BN38" s="98"/>
      <c r="BO38" s="99"/>
      <c r="BP38" s="99"/>
      <c r="BQ38" s="88"/>
      <c r="CV38" s="93"/>
      <c r="CW38" s="92"/>
      <c r="CX38" s="92"/>
      <c r="CY38" s="92"/>
      <c r="CZ38" s="91"/>
      <c r="DA38" s="92"/>
      <c r="DB38" s="92"/>
      <c r="DC38" s="92"/>
      <c r="DD38" s="91"/>
      <c r="DE38" s="92"/>
      <c r="DF38" s="92"/>
      <c r="DG38" s="92"/>
      <c r="DH38" s="91"/>
      <c r="DI38" s="92"/>
      <c r="DJ38" s="92"/>
      <c r="DK38" s="92"/>
      <c r="DL38" s="91"/>
      <c r="DM38" s="92"/>
      <c r="DN38" s="92"/>
      <c r="DO38" s="92"/>
      <c r="DP38" s="88"/>
      <c r="FK38" s="93"/>
      <c r="FO38" s="92"/>
      <c r="FP38" s="91"/>
      <c r="FQ38" s="92"/>
      <c r="FR38" s="92"/>
      <c r="FS38" s="92"/>
      <c r="FT38" s="91"/>
      <c r="FU38" s="92"/>
      <c r="FV38" s="92"/>
      <c r="FW38" s="92"/>
      <c r="FX38" s="91"/>
      <c r="FY38" s="92"/>
      <c r="FZ38" s="92"/>
      <c r="GB38" s="89"/>
      <c r="GC38" s="93"/>
    </row>
    <row r="39" spans="1:185" s="71" customFormat="1" ht="9.75" customHeight="1" thickBot="1" x14ac:dyDescent="0.25">
      <c r="A39" s="6">
        <v>113.3</v>
      </c>
      <c r="B39" s="103"/>
      <c r="C39" s="92"/>
      <c r="D39" s="95"/>
      <c r="E39" s="92"/>
      <c r="F39" s="92"/>
      <c r="G39" s="92"/>
      <c r="H39" s="92"/>
      <c r="I39" s="91"/>
      <c r="J39" s="92"/>
      <c r="K39" s="92"/>
      <c r="L39" s="92"/>
      <c r="M39" s="91"/>
      <c r="N39" s="92"/>
      <c r="O39" s="98"/>
      <c r="P39" s="99"/>
      <c r="Q39" s="99"/>
      <c r="R39" s="88"/>
      <c r="AW39" s="93"/>
      <c r="AX39" s="92"/>
      <c r="AY39" s="92"/>
      <c r="AZ39" s="92"/>
      <c r="BA39" s="91"/>
      <c r="BB39" s="92"/>
      <c r="BC39" s="92"/>
      <c r="BD39" s="92"/>
      <c r="BE39" s="91"/>
      <c r="BF39" s="92"/>
      <c r="BG39" s="92"/>
      <c r="BH39" s="92"/>
      <c r="BI39" s="91"/>
      <c r="BJ39" s="92"/>
      <c r="BK39" s="92"/>
      <c r="BL39" s="92"/>
      <c r="BM39" s="91"/>
      <c r="BQ39" s="88"/>
      <c r="CV39" s="93"/>
      <c r="CW39" s="92"/>
      <c r="CX39" s="92"/>
      <c r="CY39" s="92"/>
      <c r="CZ39" s="92"/>
      <c r="DA39" s="91"/>
      <c r="DB39" s="92"/>
      <c r="DC39" s="92"/>
      <c r="DD39" s="92"/>
      <c r="DE39" s="91"/>
      <c r="DF39" s="92"/>
      <c r="DG39" s="92"/>
      <c r="DH39" s="92"/>
      <c r="DI39" s="91"/>
      <c r="DJ39" s="92"/>
      <c r="DK39" s="92"/>
      <c r="DL39" s="92"/>
      <c r="DM39" s="91"/>
      <c r="DN39" s="92"/>
      <c r="DO39" s="92"/>
      <c r="DP39" s="88"/>
      <c r="FK39" s="93"/>
      <c r="FL39" s="99"/>
      <c r="FM39" s="99"/>
      <c r="FN39" s="101"/>
      <c r="FO39" s="92"/>
      <c r="FP39" s="92"/>
      <c r="FQ39" s="91"/>
      <c r="FR39" s="92"/>
      <c r="FS39" s="92"/>
      <c r="FT39" s="92"/>
      <c r="FU39" s="91"/>
      <c r="FV39" s="92"/>
      <c r="FW39" s="92"/>
      <c r="FX39" s="92"/>
      <c r="FY39" s="91"/>
      <c r="FZ39" s="92"/>
      <c r="GA39" s="98"/>
      <c r="GB39" s="99"/>
      <c r="GC39" s="100"/>
    </row>
    <row r="40" spans="1:185" s="71" customFormat="1" ht="9.75" customHeight="1" thickBot="1" x14ac:dyDescent="0.25">
      <c r="A40" s="6">
        <v>106.7</v>
      </c>
      <c r="B40" s="107"/>
      <c r="C40" s="101"/>
      <c r="D40" s="99"/>
      <c r="E40" s="99"/>
      <c r="F40" s="99"/>
      <c r="G40" s="99"/>
      <c r="H40" s="98"/>
      <c r="I40" s="99"/>
      <c r="J40" s="99"/>
      <c r="K40" s="99"/>
      <c r="L40" s="98"/>
      <c r="M40" s="99"/>
      <c r="N40" s="99"/>
      <c r="O40" s="92"/>
      <c r="P40" s="91"/>
      <c r="Q40" s="92"/>
      <c r="R40" s="88"/>
      <c r="AW40" s="93"/>
      <c r="AX40" s="102"/>
      <c r="AY40" s="102"/>
      <c r="AZ40" s="106"/>
      <c r="BA40" s="99"/>
      <c r="BB40" s="99"/>
      <c r="BC40" s="99"/>
      <c r="BD40" s="98"/>
      <c r="BE40" s="99"/>
      <c r="BF40" s="99"/>
      <c r="BG40" s="99"/>
      <c r="BH40" s="98"/>
      <c r="BI40" s="99"/>
      <c r="BJ40" s="99"/>
      <c r="BK40" s="99"/>
      <c r="BL40" s="98"/>
      <c r="BM40" s="99"/>
      <c r="BN40" s="98"/>
      <c r="BO40" s="99"/>
      <c r="BP40" s="99"/>
      <c r="BQ40" s="88"/>
      <c r="CV40" s="93"/>
      <c r="CW40" s="99"/>
      <c r="CX40" s="99"/>
      <c r="CY40" s="99"/>
      <c r="CZ40" s="98"/>
      <c r="DA40" s="99"/>
      <c r="DB40" s="99"/>
      <c r="DC40" s="99"/>
      <c r="DD40" s="98"/>
      <c r="DE40" s="99"/>
      <c r="DF40" s="99"/>
      <c r="DG40" s="99"/>
      <c r="DH40" s="98"/>
      <c r="DI40" s="99"/>
      <c r="DJ40" s="99"/>
      <c r="DK40" s="99"/>
      <c r="DL40" s="98"/>
      <c r="DM40" s="102"/>
      <c r="DN40" s="102"/>
      <c r="DO40" s="102"/>
      <c r="DP40" s="88"/>
      <c r="FK40" s="93"/>
      <c r="FL40" s="92"/>
      <c r="FM40" s="92"/>
      <c r="FN40" s="92"/>
      <c r="FO40" s="99"/>
      <c r="FP40" s="98"/>
      <c r="FQ40" s="99"/>
      <c r="FR40" s="99"/>
      <c r="FS40" s="99"/>
      <c r="FT40" s="98"/>
      <c r="FU40" s="99"/>
      <c r="FV40" s="99"/>
      <c r="FW40" s="99"/>
      <c r="FX40" s="98"/>
      <c r="FY40" s="99"/>
      <c r="FZ40" s="99"/>
      <c r="GA40" s="92"/>
      <c r="GB40" s="91"/>
      <c r="GC40" s="94"/>
    </row>
    <row r="41" spans="1:185" s="71" customFormat="1" ht="9.75" customHeight="1" thickBot="1" x14ac:dyDescent="0.25">
      <c r="A41" s="6">
        <v>100</v>
      </c>
      <c r="B41" s="103"/>
      <c r="C41" s="92"/>
      <c r="D41" s="95"/>
      <c r="G41" s="91"/>
      <c r="H41" s="92"/>
      <c r="I41" s="92"/>
      <c r="J41" s="92"/>
      <c r="K41" s="91"/>
      <c r="L41" s="92"/>
      <c r="M41" s="92"/>
      <c r="N41" s="92"/>
      <c r="O41" s="91"/>
      <c r="P41" s="92"/>
      <c r="Q41" s="92"/>
      <c r="R41" s="88"/>
      <c r="AW41" s="93"/>
      <c r="AX41" s="99"/>
      <c r="AY41" s="99"/>
      <c r="AZ41" s="101"/>
      <c r="BA41" s="92"/>
      <c r="BB41" s="92"/>
      <c r="BC41" s="91"/>
      <c r="BD41" s="92"/>
      <c r="BE41" s="92"/>
      <c r="BF41" s="92"/>
      <c r="BG41" s="91"/>
      <c r="BH41" s="92"/>
      <c r="BI41" s="92"/>
      <c r="BJ41" s="92"/>
      <c r="BK41" s="91"/>
      <c r="BL41" s="92"/>
      <c r="BM41" s="92"/>
      <c r="BO41" s="89"/>
      <c r="BQ41" s="88"/>
      <c r="CV41" s="93"/>
      <c r="CW41" s="92"/>
      <c r="CX41" s="92"/>
      <c r="CY41" s="91"/>
      <c r="CZ41" s="92"/>
      <c r="DA41" s="92"/>
      <c r="DB41" s="92"/>
      <c r="DC41" s="91"/>
      <c r="DD41" s="92"/>
      <c r="DE41" s="92"/>
      <c r="DF41" s="92"/>
      <c r="DG41" s="91"/>
      <c r="DH41" s="92"/>
      <c r="DI41" s="92"/>
      <c r="DJ41" s="92"/>
      <c r="DK41" s="91"/>
      <c r="DL41" s="92"/>
      <c r="DM41" s="98"/>
      <c r="DN41" s="99"/>
      <c r="DO41" s="99"/>
      <c r="DP41" s="88"/>
      <c r="FK41" s="93"/>
      <c r="FL41" s="92"/>
      <c r="FM41" s="92"/>
      <c r="FN41" s="92"/>
      <c r="FO41" s="91"/>
      <c r="FP41" s="92"/>
      <c r="FQ41" s="92"/>
      <c r="FR41" s="92"/>
      <c r="FS41" s="91"/>
      <c r="FT41" s="92"/>
      <c r="FU41" s="92"/>
      <c r="FV41" s="92"/>
      <c r="FW41" s="91"/>
      <c r="FX41" s="92"/>
      <c r="FY41" s="92"/>
      <c r="FZ41" s="92"/>
      <c r="GA41" s="91"/>
      <c r="GB41" s="92"/>
      <c r="GC41" s="94"/>
    </row>
    <row r="42" spans="1:185" s="71" customFormat="1" ht="9.75" customHeight="1" thickBot="1" x14ac:dyDescent="0.25">
      <c r="A42" s="6">
        <v>93.3</v>
      </c>
      <c r="B42" s="103"/>
      <c r="C42" s="95"/>
      <c r="D42" s="92"/>
      <c r="E42" s="99"/>
      <c r="F42" s="99"/>
      <c r="G42" s="92"/>
      <c r="H42" s="91"/>
      <c r="I42" s="92"/>
      <c r="J42" s="92"/>
      <c r="K42" s="92"/>
      <c r="L42" s="91"/>
      <c r="M42" s="92"/>
      <c r="N42" s="92"/>
      <c r="P42" s="89"/>
      <c r="R42" s="88"/>
      <c r="AW42" s="93"/>
      <c r="AX42" s="92"/>
      <c r="AY42" s="92"/>
      <c r="AZ42" s="91"/>
      <c r="BA42" s="92"/>
      <c r="BB42" s="92"/>
      <c r="BC42" s="92"/>
      <c r="BD42" s="91"/>
      <c r="BE42" s="92"/>
      <c r="BF42" s="92"/>
      <c r="BG42" s="92"/>
      <c r="BH42" s="91"/>
      <c r="BI42" s="92"/>
      <c r="BJ42" s="92"/>
      <c r="BK42" s="92"/>
      <c r="BL42" s="91"/>
      <c r="BM42" s="92"/>
      <c r="BN42" s="98"/>
      <c r="BO42" s="99"/>
      <c r="BP42" s="99"/>
      <c r="BQ42" s="88"/>
      <c r="CV42" s="93"/>
      <c r="CW42" s="92"/>
      <c r="CX42" s="92"/>
      <c r="CY42" s="92"/>
      <c r="CZ42" s="91"/>
      <c r="DA42" s="92"/>
      <c r="DB42" s="92"/>
      <c r="DC42" s="92"/>
      <c r="DD42" s="91"/>
      <c r="DE42" s="92"/>
      <c r="DF42" s="92"/>
      <c r="DG42" s="92"/>
      <c r="DH42" s="91"/>
      <c r="DI42" s="92"/>
      <c r="DJ42" s="92"/>
      <c r="DK42" s="92"/>
      <c r="DL42" s="91"/>
      <c r="DM42" s="92"/>
      <c r="DN42" s="92"/>
      <c r="DO42" s="92"/>
      <c r="DP42" s="88"/>
      <c r="FK42" s="93"/>
      <c r="FO42" s="92"/>
      <c r="FP42" s="91"/>
      <c r="FQ42" s="92"/>
      <c r="FR42" s="92"/>
      <c r="FS42" s="92"/>
      <c r="FT42" s="91"/>
      <c r="FU42" s="92"/>
      <c r="FV42" s="92"/>
      <c r="FW42" s="92"/>
      <c r="FX42" s="91"/>
      <c r="FY42" s="92"/>
      <c r="FZ42" s="92"/>
      <c r="GB42" s="89"/>
      <c r="GC42" s="93"/>
    </row>
    <row r="43" spans="1:185" s="71" customFormat="1" ht="9.75" customHeight="1" thickBot="1" x14ac:dyDescent="0.25">
      <c r="A43" s="6">
        <v>86.7</v>
      </c>
      <c r="B43" s="103"/>
      <c r="C43" s="92"/>
      <c r="D43" s="95"/>
      <c r="E43" s="92"/>
      <c r="F43" s="92"/>
      <c r="G43" s="92"/>
      <c r="H43" s="92"/>
      <c r="I43" s="91"/>
      <c r="J43" s="92"/>
      <c r="K43" s="92"/>
      <c r="L43" s="92"/>
      <c r="M43" s="91"/>
      <c r="N43" s="92"/>
      <c r="O43" s="98"/>
      <c r="P43" s="99"/>
      <c r="Q43" s="99"/>
      <c r="R43" s="88"/>
      <c r="AW43" s="93"/>
      <c r="AX43" s="92"/>
      <c r="AY43" s="92"/>
      <c r="AZ43" s="92"/>
      <c r="BA43" s="91"/>
      <c r="BB43" s="92"/>
      <c r="BC43" s="92"/>
      <c r="BD43" s="92"/>
      <c r="BE43" s="91"/>
      <c r="BF43" s="92"/>
      <c r="BG43" s="92"/>
      <c r="BH43" s="92"/>
      <c r="BI43" s="91"/>
      <c r="BJ43" s="92"/>
      <c r="BK43" s="92"/>
      <c r="BL43" s="92"/>
      <c r="BM43" s="91"/>
      <c r="BQ43" s="88"/>
      <c r="CV43" s="93"/>
      <c r="CW43" s="92"/>
      <c r="CX43" s="92"/>
      <c r="CY43" s="92"/>
      <c r="CZ43" s="92"/>
      <c r="DA43" s="91"/>
      <c r="DB43" s="92"/>
      <c r="DC43" s="92"/>
      <c r="DD43" s="92"/>
      <c r="DE43" s="91"/>
      <c r="DF43" s="92"/>
      <c r="DG43" s="92"/>
      <c r="DH43" s="92"/>
      <c r="DI43" s="91"/>
      <c r="DJ43" s="92"/>
      <c r="DK43" s="92"/>
      <c r="DL43" s="92"/>
      <c r="DM43" s="91"/>
      <c r="DN43" s="92"/>
      <c r="DO43" s="92"/>
      <c r="DP43" s="88"/>
      <c r="FK43" s="93"/>
      <c r="FL43" s="99"/>
      <c r="FM43" s="99"/>
      <c r="FN43" s="101"/>
      <c r="FO43" s="92"/>
      <c r="FP43" s="92"/>
      <c r="FQ43" s="91"/>
      <c r="FR43" s="92"/>
      <c r="FS43" s="92"/>
      <c r="FT43" s="92"/>
      <c r="FU43" s="91"/>
      <c r="FV43" s="92"/>
      <c r="FW43" s="92"/>
      <c r="FX43" s="92"/>
      <c r="FY43" s="91"/>
      <c r="FZ43" s="92"/>
      <c r="GA43" s="98"/>
      <c r="GB43" s="99"/>
      <c r="GC43" s="100"/>
    </row>
    <row r="44" spans="1:185" s="71" customFormat="1" ht="9.75" customHeight="1" thickBot="1" x14ac:dyDescent="0.25">
      <c r="A44" s="6">
        <v>80</v>
      </c>
      <c r="B44" s="107"/>
      <c r="C44" s="101"/>
      <c r="D44" s="99"/>
      <c r="E44" s="99"/>
      <c r="F44" s="99"/>
      <c r="G44" s="99"/>
      <c r="H44" s="98"/>
      <c r="I44" s="99"/>
      <c r="J44" s="99"/>
      <c r="K44" s="99"/>
      <c r="L44" s="98"/>
      <c r="M44" s="99"/>
      <c r="N44" s="99"/>
      <c r="O44" s="92"/>
      <c r="P44" s="91"/>
      <c r="Q44" s="92"/>
      <c r="R44" s="88"/>
      <c r="AW44" s="93"/>
      <c r="AX44" s="102"/>
      <c r="AY44" s="102"/>
      <c r="AZ44" s="106"/>
      <c r="BA44" s="99"/>
      <c r="BB44" s="99"/>
      <c r="BC44" s="99"/>
      <c r="BD44" s="98"/>
      <c r="BE44" s="99"/>
      <c r="BF44" s="99"/>
      <c r="BG44" s="99"/>
      <c r="BH44" s="98"/>
      <c r="BI44" s="99"/>
      <c r="BJ44" s="99"/>
      <c r="BK44" s="99"/>
      <c r="BL44" s="98"/>
      <c r="BM44" s="99"/>
      <c r="BN44" s="98"/>
      <c r="BO44" s="99"/>
      <c r="BP44" s="99"/>
      <c r="BQ44" s="88"/>
      <c r="CV44" s="93"/>
      <c r="CW44" s="99"/>
      <c r="CX44" s="99"/>
      <c r="CY44" s="99"/>
      <c r="CZ44" s="98"/>
      <c r="DA44" s="99"/>
      <c r="DB44" s="99"/>
      <c r="DC44" s="99"/>
      <c r="DD44" s="98"/>
      <c r="DE44" s="99"/>
      <c r="DF44" s="99"/>
      <c r="DG44" s="99"/>
      <c r="DH44" s="98"/>
      <c r="DI44" s="99"/>
      <c r="DJ44" s="99"/>
      <c r="DK44" s="99"/>
      <c r="DL44" s="98"/>
      <c r="DM44" s="102"/>
      <c r="DN44" s="102"/>
      <c r="DO44" s="102"/>
      <c r="DP44" s="88"/>
      <c r="FK44" s="93"/>
      <c r="FL44" s="92"/>
      <c r="FM44" s="92"/>
      <c r="FN44" s="92"/>
      <c r="FO44" s="99"/>
      <c r="FP44" s="98"/>
      <c r="FQ44" s="99"/>
      <c r="FR44" s="99"/>
      <c r="FS44" s="99"/>
      <c r="FT44" s="98"/>
      <c r="FU44" s="99"/>
      <c r="FV44" s="99"/>
      <c r="FW44" s="99"/>
      <c r="FX44" s="98"/>
      <c r="FY44" s="99"/>
      <c r="FZ44" s="99"/>
      <c r="GA44" s="92"/>
      <c r="GB44" s="91"/>
      <c r="GC44" s="94"/>
    </row>
    <row r="45" spans="1:185" s="71" customFormat="1" ht="9.75" customHeight="1" thickBot="1" x14ac:dyDescent="0.25">
      <c r="A45" s="6">
        <v>73.3</v>
      </c>
      <c r="B45" s="103"/>
      <c r="C45" s="92"/>
      <c r="D45" s="95"/>
      <c r="G45" s="91"/>
      <c r="H45" s="92"/>
      <c r="I45" s="92"/>
      <c r="J45" s="92"/>
      <c r="K45" s="91"/>
      <c r="L45" s="92"/>
      <c r="M45" s="92"/>
      <c r="N45" s="92"/>
      <c r="O45" s="91"/>
      <c r="P45" s="92"/>
      <c r="Q45" s="92"/>
      <c r="R45" s="88"/>
      <c r="AW45" s="93"/>
      <c r="AX45" s="99"/>
      <c r="AY45" s="99"/>
      <c r="AZ45" s="101"/>
      <c r="BA45" s="92"/>
      <c r="BB45" s="92"/>
      <c r="BC45" s="91"/>
      <c r="BD45" s="92"/>
      <c r="BE45" s="92"/>
      <c r="BF45" s="92"/>
      <c r="BG45" s="91"/>
      <c r="BH45" s="92"/>
      <c r="BI45" s="92"/>
      <c r="BJ45" s="92"/>
      <c r="BK45" s="91"/>
      <c r="BL45" s="92"/>
      <c r="BM45" s="92"/>
      <c r="BO45" s="89"/>
      <c r="BQ45" s="88"/>
      <c r="CV45" s="93"/>
      <c r="CW45" s="92"/>
      <c r="CX45" s="92"/>
      <c r="CY45" s="91"/>
      <c r="CZ45" s="92"/>
      <c r="DA45" s="92"/>
      <c r="DB45" s="92"/>
      <c r="DC45" s="91"/>
      <c r="DD45" s="92"/>
      <c r="DE45" s="92"/>
      <c r="DF45" s="92"/>
      <c r="DG45" s="91"/>
      <c r="DH45" s="92"/>
      <c r="DI45" s="92"/>
      <c r="DJ45" s="92"/>
      <c r="DK45" s="91"/>
      <c r="DL45" s="92"/>
      <c r="DM45" s="98"/>
      <c r="DN45" s="99"/>
      <c r="DO45" s="99"/>
      <c r="DP45" s="88"/>
      <c r="FK45" s="93"/>
      <c r="FL45" s="92"/>
      <c r="FM45" s="92"/>
      <c r="FN45" s="92"/>
      <c r="FO45" s="91"/>
      <c r="FP45" s="92"/>
      <c r="FQ45" s="92"/>
      <c r="FR45" s="92"/>
      <c r="FS45" s="91"/>
      <c r="FT45" s="92"/>
      <c r="FU45" s="92"/>
      <c r="FV45" s="92"/>
      <c r="FW45" s="91"/>
      <c r="FX45" s="92"/>
      <c r="FY45" s="92"/>
      <c r="FZ45" s="92"/>
      <c r="GA45" s="91"/>
      <c r="GB45" s="92"/>
      <c r="GC45" s="94"/>
    </row>
    <row r="46" spans="1:185" s="71" customFormat="1" ht="9.75" customHeight="1" thickBot="1" x14ac:dyDescent="0.25">
      <c r="A46" s="6">
        <v>66.7</v>
      </c>
      <c r="B46" s="103"/>
      <c r="C46" s="95"/>
      <c r="D46" s="92"/>
      <c r="E46" s="99"/>
      <c r="F46" s="99"/>
      <c r="G46" s="92"/>
      <c r="H46" s="91"/>
      <c r="I46" s="92"/>
      <c r="J46" s="92"/>
      <c r="K46" s="92"/>
      <c r="L46" s="91"/>
      <c r="M46" s="92"/>
      <c r="N46" s="92"/>
      <c r="P46" s="89"/>
      <c r="R46" s="88"/>
      <c r="AW46" s="93"/>
      <c r="AX46" s="92"/>
      <c r="AY46" s="92"/>
      <c r="AZ46" s="91"/>
      <c r="BA46" s="92"/>
      <c r="BB46" s="92"/>
      <c r="BC46" s="92"/>
      <c r="BD46" s="91"/>
      <c r="BE46" s="92"/>
      <c r="BF46" s="92"/>
      <c r="BG46" s="92"/>
      <c r="BH46" s="91"/>
      <c r="BI46" s="92"/>
      <c r="BJ46" s="92"/>
      <c r="BK46" s="92"/>
      <c r="BL46" s="91"/>
      <c r="BM46" s="92"/>
      <c r="BN46" s="98"/>
      <c r="BO46" s="99"/>
      <c r="BP46" s="99"/>
      <c r="BQ46" s="88"/>
      <c r="CV46" s="93"/>
      <c r="CW46" s="92"/>
      <c r="CX46" s="92"/>
      <c r="CY46" s="92"/>
      <c r="CZ46" s="91"/>
      <c r="DA46" s="92"/>
      <c r="DB46" s="92"/>
      <c r="DC46" s="92"/>
      <c r="DD46" s="91"/>
      <c r="DE46" s="92"/>
      <c r="DF46" s="92"/>
      <c r="DG46" s="92"/>
      <c r="DH46" s="91"/>
      <c r="DI46" s="92"/>
      <c r="DJ46" s="92"/>
      <c r="DK46" s="92"/>
      <c r="DL46" s="91"/>
      <c r="DM46" s="92"/>
      <c r="DN46" s="92"/>
      <c r="DO46" s="92"/>
      <c r="DP46" s="88"/>
      <c r="FK46" s="93"/>
      <c r="FO46" s="92"/>
      <c r="FP46" s="91"/>
      <c r="FQ46" s="92"/>
      <c r="FR46" s="92"/>
      <c r="FS46" s="92"/>
      <c r="FT46" s="91"/>
      <c r="FU46" s="92"/>
      <c r="FV46" s="92"/>
      <c r="FW46" s="92"/>
      <c r="FX46" s="91"/>
      <c r="FY46" s="92"/>
      <c r="FZ46" s="92"/>
      <c r="GB46" s="89"/>
      <c r="GC46" s="93"/>
    </row>
    <row r="47" spans="1:185" s="71" customFormat="1" ht="9.75" customHeight="1" thickBot="1" x14ac:dyDescent="0.25">
      <c r="A47" s="6">
        <v>60</v>
      </c>
      <c r="B47" s="103"/>
      <c r="C47" s="92"/>
      <c r="D47" s="95"/>
      <c r="E47" s="92"/>
      <c r="F47" s="92"/>
      <c r="G47" s="92"/>
      <c r="H47" s="92"/>
      <c r="I47" s="91"/>
      <c r="J47" s="92"/>
      <c r="K47" s="92"/>
      <c r="L47" s="92"/>
      <c r="M47" s="91"/>
      <c r="N47" s="92"/>
      <c r="O47" s="98"/>
      <c r="P47" s="99"/>
      <c r="Q47" s="99"/>
      <c r="R47" s="88"/>
      <c r="AW47" s="93"/>
      <c r="AX47" s="92"/>
      <c r="AY47" s="92"/>
      <c r="AZ47" s="92"/>
      <c r="BA47" s="91"/>
      <c r="BB47" s="92"/>
      <c r="BC47" s="92"/>
      <c r="BD47" s="92"/>
      <c r="BE47" s="91"/>
      <c r="BF47" s="92"/>
      <c r="BG47" s="92"/>
      <c r="BH47" s="92"/>
      <c r="BI47" s="91"/>
      <c r="BJ47" s="92"/>
      <c r="BK47" s="92"/>
      <c r="BL47" s="92"/>
      <c r="BM47" s="91"/>
      <c r="BQ47" s="88"/>
      <c r="CV47" s="93"/>
      <c r="CW47" s="92"/>
      <c r="CX47" s="92"/>
      <c r="CY47" s="92"/>
      <c r="CZ47" s="92"/>
      <c r="DA47" s="91"/>
      <c r="DB47" s="92"/>
      <c r="DC47" s="92"/>
      <c r="DD47" s="92"/>
      <c r="DE47" s="91"/>
      <c r="DF47" s="92"/>
      <c r="DG47" s="92"/>
      <c r="DH47" s="92"/>
      <c r="DI47" s="91"/>
      <c r="DJ47" s="92"/>
      <c r="DK47" s="92"/>
      <c r="DL47" s="92"/>
      <c r="DM47" s="91"/>
      <c r="DN47" s="92"/>
      <c r="DO47" s="92"/>
      <c r="DP47" s="88"/>
      <c r="FK47" s="93"/>
      <c r="FL47" s="99"/>
      <c r="FM47" s="99"/>
      <c r="FN47" s="101"/>
      <c r="FO47" s="92"/>
      <c r="FP47" s="92"/>
      <c r="FQ47" s="91"/>
      <c r="FR47" s="92"/>
      <c r="FS47" s="92"/>
      <c r="FT47" s="92"/>
      <c r="FU47" s="91"/>
      <c r="FV47" s="92"/>
      <c r="FW47" s="92"/>
      <c r="FX47" s="92"/>
      <c r="FY47" s="91"/>
      <c r="FZ47" s="92"/>
      <c r="GA47" s="98"/>
      <c r="GB47" s="99"/>
      <c r="GC47" s="100"/>
    </row>
    <row r="48" spans="1:185" s="71" customFormat="1" ht="9.75" customHeight="1" thickBot="1" x14ac:dyDescent="0.25">
      <c r="A48" s="6">
        <v>53.3</v>
      </c>
      <c r="B48" s="107"/>
      <c r="C48" s="101"/>
      <c r="D48" s="99"/>
      <c r="E48" s="99"/>
      <c r="F48" s="99"/>
      <c r="G48" s="99"/>
      <c r="H48" s="98"/>
      <c r="I48" s="99"/>
      <c r="J48" s="99"/>
      <c r="K48" s="99"/>
      <c r="L48" s="98"/>
      <c r="M48" s="99"/>
      <c r="N48" s="99"/>
      <c r="O48" s="92"/>
      <c r="P48" s="91"/>
      <c r="Q48" s="92"/>
      <c r="R48" s="88"/>
      <c r="AW48" s="93"/>
      <c r="AX48" s="102"/>
      <c r="AY48" s="102"/>
      <c r="AZ48" s="106"/>
      <c r="BA48" s="99"/>
      <c r="BB48" s="99"/>
      <c r="BC48" s="99"/>
      <c r="BD48" s="98"/>
      <c r="BE48" s="99"/>
      <c r="BF48" s="99"/>
      <c r="BG48" s="99"/>
      <c r="BH48" s="98"/>
      <c r="BI48" s="99"/>
      <c r="BJ48" s="99"/>
      <c r="BK48" s="99"/>
      <c r="BL48" s="98"/>
      <c r="BM48" s="99"/>
      <c r="BN48" s="98"/>
      <c r="BO48" s="99"/>
      <c r="BP48" s="99"/>
      <c r="BQ48" s="88"/>
      <c r="CV48" s="93"/>
      <c r="CW48" s="99"/>
      <c r="CX48" s="99"/>
      <c r="CY48" s="99"/>
      <c r="CZ48" s="98"/>
      <c r="DA48" s="99"/>
      <c r="DB48" s="99"/>
      <c r="DC48" s="99"/>
      <c r="DD48" s="98"/>
      <c r="DE48" s="99"/>
      <c r="DF48" s="99"/>
      <c r="DG48" s="99"/>
      <c r="DH48" s="98"/>
      <c r="DI48" s="99"/>
      <c r="DJ48" s="99"/>
      <c r="DK48" s="99"/>
      <c r="DL48" s="98"/>
      <c r="DM48" s="102"/>
      <c r="DN48" s="102"/>
      <c r="DO48" s="102"/>
      <c r="DP48" s="88"/>
      <c r="FK48" s="93"/>
      <c r="FL48" s="92"/>
      <c r="FM48" s="92"/>
      <c r="FN48" s="92"/>
      <c r="FO48" s="99"/>
      <c r="FP48" s="98"/>
      <c r="FQ48" s="99"/>
      <c r="FR48" s="99"/>
      <c r="FS48" s="99"/>
      <c r="FT48" s="98"/>
      <c r="FU48" s="99"/>
      <c r="FV48" s="99"/>
      <c r="FW48" s="99"/>
      <c r="FX48" s="98"/>
      <c r="FY48" s="99"/>
      <c r="FZ48" s="99"/>
      <c r="GA48" s="92"/>
      <c r="GB48" s="91"/>
      <c r="GC48" s="94"/>
    </row>
    <row r="49" spans="1:501" s="71" customFormat="1" ht="9.75" customHeight="1" thickBot="1" x14ac:dyDescent="0.25">
      <c r="A49" s="6">
        <v>46.7</v>
      </c>
      <c r="B49" s="103"/>
      <c r="C49" s="92"/>
      <c r="D49" s="95"/>
      <c r="G49" s="91"/>
      <c r="H49" s="92"/>
      <c r="I49" s="92"/>
      <c r="J49" s="92"/>
      <c r="K49" s="91"/>
      <c r="L49" s="92"/>
      <c r="M49" s="92"/>
      <c r="N49" s="92"/>
      <c r="O49" s="91"/>
      <c r="P49" s="92"/>
      <c r="Q49" s="92"/>
      <c r="R49" s="88"/>
      <c r="AW49" s="93"/>
      <c r="AX49" s="99"/>
      <c r="AY49" s="99"/>
      <c r="AZ49" s="101"/>
      <c r="BA49" s="92"/>
      <c r="BB49" s="92"/>
      <c r="BC49" s="91"/>
      <c r="BD49" s="92"/>
      <c r="BE49" s="92"/>
      <c r="BF49" s="92"/>
      <c r="BG49" s="91"/>
      <c r="BH49" s="92"/>
      <c r="BI49" s="92"/>
      <c r="BJ49" s="92"/>
      <c r="BK49" s="91"/>
      <c r="BL49" s="92"/>
      <c r="BM49" s="92"/>
      <c r="BO49" s="89"/>
      <c r="BQ49" s="88"/>
      <c r="CV49" s="93"/>
      <c r="CW49" s="92"/>
      <c r="CX49" s="92"/>
      <c r="CY49" s="91"/>
      <c r="CZ49" s="92"/>
      <c r="DA49" s="92"/>
      <c r="DB49" s="92"/>
      <c r="DC49" s="91"/>
      <c r="DD49" s="92"/>
      <c r="DE49" s="92"/>
      <c r="DF49" s="92"/>
      <c r="DG49" s="91"/>
      <c r="DH49" s="92"/>
      <c r="DI49" s="92"/>
      <c r="DJ49" s="92"/>
      <c r="DK49" s="91"/>
      <c r="DL49" s="92"/>
      <c r="DM49" s="98"/>
      <c r="DN49" s="99"/>
      <c r="DO49" s="99"/>
      <c r="DP49" s="88"/>
      <c r="FK49" s="93"/>
      <c r="FL49" s="92"/>
      <c r="FM49" s="92"/>
      <c r="FN49" s="92"/>
      <c r="FO49" s="91"/>
      <c r="FP49" s="92"/>
      <c r="FQ49" s="92"/>
      <c r="FR49" s="92"/>
      <c r="FS49" s="91"/>
      <c r="FT49" s="92"/>
      <c r="FU49" s="92"/>
      <c r="FV49" s="92"/>
      <c r="FW49" s="91"/>
      <c r="FX49" s="92"/>
      <c r="FY49" s="92"/>
      <c r="FZ49" s="92"/>
      <c r="GA49" s="91"/>
      <c r="GB49" s="92"/>
      <c r="GC49" s="94"/>
    </row>
    <row r="50" spans="1:501" s="71" customFormat="1" ht="9.75" customHeight="1" thickBot="1" x14ac:dyDescent="0.25">
      <c r="A50" s="6">
        <v>40</v>
      </c>
      <c r="B50" s="103"/>
      <c r="C50" s="95"/>
      <c r="D50" s="92"/>
      <c r="E50" s="99"/>
      <c r="F50" s="99"/>
      <c r="G50" s="92"/>
      <c r="H50" s="91"/>
      <c r="I50" s="92"/>
      <c r="J50" s="92"/>
      <c r="K50" s="92"/>
      <c r="L50" s="91"/>
      <c r="M50" s="92"/>
      <c r="N50" s="92"/>
      <c r="P50" s="89"/>
      <c r="R50" s="88"/>
      <c r="AW50" s="93"/>
      <c r="AX50" s="92"/>
      <c r="AY50" s="92"/>
      <c r="AZ50" s="91"/>
      <c r="BA50" s="92"/>
      <c r="BB50" s="92"/>
      <c r="BC50" s="92"/>
      <c r="BD50" s="91"/>
      <c r="BE50" s="92"/>
      <c r="BF50" s="92"/>
      <c r="BG50" s="92"/>
      <c r="BH50" s="91"/>
      <c r="BI50" s="92"/>
      <c r="BJ50" s="92"/>
      <c r="BK50" s="92"/>
      <c r="BL50" s="91"/>
      <c r="BM50" s="92"/>
      <c r="BN50" s="98"/>
      <c r="BO50" s="99"/>
      <c r="BP50" s="99"/>
      <c r="BQ50" s="88"/>
      <c r="CV50" s="93"/>
      <c r="CW50" s="92"/>
      <c r="CX50" s="92"/>
      <c r="CY50" s="92"/>
      <c r="CZ50" s="91"/>
      <c r="DA50" s="92"/>
      <c r="DB50" s="92"/>
      <c r="DC50" s="92"/>
      <c r="DD50" s="91"/>
      <c r="DE50" s="92"/>
      <c r="DF50" s="92"/>
      <c r="DG50" s="92"/>
      <c r="DH50" s="91"/>
      <c r="DI50" s="92"/>
      <c r="DJ50" s="92"/>
      <c r="DK50" s="92"/>
      <c r="DL50" s="91"/>
      <c r="DM50" s="92"/>
      <c r="DN50" s="92"/>
      <c r="DO50" s="92"/>
      <c r="DP50" s="88"/>
      <c r="FK50" s="93"/>
      <c r="FO50" s="92"/>
      <c r="FP50" s="91"/>
      <c r="FQ50" s="92"/>
      <c r="FR50" s="92"/>
      <c r="FS50" s="92"/>
      <c r="FT50" s="91"/>
      <c r="FU50" s="92"/>
      <c r="FV50" s="92"/>
      <c r="FW50" s="92"/>
      <c r="FX50" s="91"/>
      <c r="FY50" s="92"/>
      <c r="FZ50" s="92"/>
      <c r="GB50" s="89"/>
      <c r="GC50" s="93"/>
    </row>
    <row r="51" spans="1:501" s="71" customFormat="1" ht="9.75" customHeight="1" thickBot="1" x14ac:dyDescent="0.25">
      <c r="A51" s="6">
        <v>33.299999999999997</v>
      </c>
      <c r="B51" s="103"/>
      <c r="C51" s="92"/>
      <c r="D51" s="95"/>
      <c r="E51" s="92"/>
      <c r="F51" s="92"/>
      <c r="G51" s="92"/>
      <c r="H51" s="92"/>
      <c r="I51" s="91"/>
      <c r="J51" s="92"/>
      <c r="K51" s="92"/>
      <c r="L51" s="92"/>
      <c r="M51" s="91"/>
      <c r="N51" s="92"/>
      <c r="O51" s="98"/>
      <c r="P51" s="99"/>
      <c r="Q51" s="99"/>
      <c r="R51" s="88"/>
      <c r="AW51" s="93"/>
      <c r="AX51" s="92"/>
      <c r="AY51" s="92"/>
      <c r="AZ51" s="92"/>
      <c r="BA51" s="91"/>
      <c r="BB51" s="92"/>
      <c r="BC51" s="92"/>
      <c r="BD51" s="92"/>
      <c r="BE51" s="91"/>
      <c r="BF51" s="92"/>
      <c r="BG51" s="92"/>
      <c r="BH51" s="92"/>
      <c r="BI51" s="91"/>
      <c r="BJ51" s="92"/>
      <c r="BK51" s="92"/>
      <c r="BL51" s="92"/>
      <c r="BM51" s="91"/>
      <c r="BQ51" s="88"/>
      <c r="CV51" s="93"/>
      <c r="CW51" s="92"/>
      <c r="CX51" s="92"/>
      <c r="CY51" s="92"/>
      <c r="CZ51" s="92"/>
      <c r="DA51" s="91"/>
      <c r="DB51" s="92"/>
      <c r="DC51" s="92"/>
      <c r="DD51" s="92"/>
      <c r="DE51" s="91"/>
      <c r="DF51" s="92"/>
      <c r="DG51" s="92"/>
      <c r="DH51" s="92"/>
      <c r="DI51" s="91"/>
      <c r="DJ51" s="92"/>
      <c r="DK51" s="92"/>
      <c r="DL51" s="92"/>
      <c r="DM51" s="91"/>
      <c r="DN51" s="92"/>
      <c r="DO51" s="92"/>
      <c r="DP51" s="88"/>
      <c r="FK51" s="93"/>
      <c r="FL51" s="99"/>
      <c r="FM51" s="99"/>
      <c r="FN51" s="101"/>
      <c r="FO51" s="92"/>
      <c r="FP51" s="92"/>
      <c r="FQ51" s="91"/>
      <c r="FR51" s="92"/>
      <c r="FS51" s="92"/>
      <c r="FT51" s="92"/>
      <c r="FU51" s="91"/>
      <c r="FV51" s="92"/>
      <c r="FW51" s="92"/>
      <c r="FX51" s="92"/>
      <c r="FY51" s="91"/>
      <c r="FZ51" s="92"/>
      <c r="GA51" s="98"/>
      <c r="GB51" s="99"/>
      <c r="GC51" s="100"/>
    </row>
    <row r="52" spans="1:501" s="71" customFormat="1" ht="9.75" customHeight="1" thickBot="1" x14ac:dyDescent="0.25">
      <c r="A52" s="6">
        <v>26.7</v>
      </c>
      <c r="B52" s="107"/>
      <c r="C52" s="101"/>
      <c r="D52" s="99"/>
      <c r="E52" s="99"/>
      <c r="F52" s="99"/>
      <c r="G52" s="99"/>
      <c r="H52" s="98"/>
      <c r="I52" s="99"/>
      <c r="J52" s="99"/>
      <c r="K52" s="99"/>
      <c r="L52" s="98"/>
      <c r="M52" s="99"/>
      <c r="N52" s="99"/>
      <c r="O52" s="92"/>
      <c r="P52" s="91"/>
      <c r="Q52" s="92"/>
      <c r="R52" s="88"/>
      <c r="AW52" s="93"/>
      <c r="AX52" s="102"/>
      <c r="AY52" s="102"/>
      <c r="AZ52" s="106"/>
      <c r="BA52" s="99"/>
      <c r="BB52" s="99"/>
      <c r="BC52" s="99"/>
      <c r="BD52" s="98"/>
      <c r="BE52" s="99"/>
      <c r="BF52" s="99"/>
      <c r="BG52" s="99"/>
      <c r="BH52" s="98"/>
      <c r="BI52" s="99"/>
      <c r="BJ52" s="99"/>
      <c r="BK52" s="99"/>
      <c r="BL52" s="98"/>
      <c r="BM52" s="99"/>
      <c r="BN52" s="98"/>
      <c r="BO52" s="99"/>
      <c r="BP52" s="99"/>
      <c r="BQ52" s="88"/>
      <c r="CV52" s="93"/>
      <c r="CW52" s="99"/>
      <c r="CX52" s="99"/>
      <c r="CY52" s="99"/>
      <c r="CZ52" s="98"/>
      <c r="DA52" s="99"/>
      <c r="DB52" s="99"/>
      <c r="DC52" s="99"/>
      <c r="DD52" s="98"/>
      <c r="DE52" s="99"/>
      <c r="DF52" s="99"/>
      <c r="DG52" s="99"/>
      <c r="DH52" s="98"/>
      <c r="DI52" s="99"/>
      <c r="DJ52" s="99"/>
      <c r="DK52" s="99"/>
      <c r="DL52" s="98"/>
      <c r="DM52" s="102"/>
      <c r="DN52" s="102"/>
      <c r="DO52" s="102"/>
      <c r="DP52" s="88"/>
      <c r="FK52" s="93"/>
      <c r="FL52" s="92"/>
      <c r="FM52" s="92"/>
      <c r="FN52" s="92"/>
      <c r="FO52" s="99"/>
      <c r="FP52" s="98"/>
      <c r="FQ52" s="99"/>
      <c r="FR52" s="99"/>
      <c r="FS52" s="99"/>
      <c r="FT52" s="98"/>
      <c r="FU52" s="99"/>
      <c r="FV52" s="99"/>
      <c r="FW52" s="99"/>
      <c r="FX52" s="98"/>
      <c r="FY52" s="99"/>
      <c r="FZ52" s="99"/>
      <c r="GA52" s="92"/>
      <c r="GB52" s="91"/>
      <c r="GC52" s="94"/>
    </row>
    <row r="53" spans="1:501" s="71" customFormat="1" ht="9.75" customHeight="1" thickBot="1" x14ac:dyDescent="0.25">
      <c r="A53" s="6">
        <v>20</v>
      </c>
      <c r="B53" s="103"/>
      <c r="C53" s="92"/>
      <c r="D53" s="95"/>
      <c r="G53" s="91"/>
      <c r="H53" s="92"/>
      <c r="I53" s="92"/>
      <c r="J53" s="92"/>
      <c r="K53" s="91"/>
      <c r="L53" s="92"/>
      <c r="M53" s="92"/>
      <c r="N53" s="92"/>
      <c r="O53" s="91"/>
      <c r="P53" s="92"/>
      <c r="Q53" s="92"/>
      <c r="R53" s="88"/>
      <c r="AW53" s="93"/>
      <c r="AX53" s="99"/>
      <c r="AY53" s="99"/>
      <c r="AZ53" s="101"/>
      <c r="BA53" s="92"/>
      <c r="BB53" s="92"/>
      <c r="BC53" s="91"/>
      <c r="BD53" s="92"/>
      <c r="BE53" s="92"/>
      <c r="BF53" s="92"/>
      <c r="BG53" s="91"/>
      <c r="BH53" s="92"/>
      <c r="BI53" s="92"/>
      <c r="BJ53" s="92"/>
      <c r="BK53" s="91"/>
      <c r="BL53" s="92"/>
      <c r="BM53" s="92"/>
      <c r="BO53" s="89"/>
      <c r="BQ53" s="88"/>
      <c r="CV53" s="93"/>
      <c r="CW53" s="92"/>
      <c r="CX53" s="92"/>
      <c r="CY53" s="91"/>
      <c r="CZ53" s="92"/>
      <c r="DA53" s="92"/>
      <c r="DB53" s="92"/>
      <c r="DC53" s="91"/>
      <c r="DD53" s="92"/>
      <c r="DE53" s="92"/>
      <c r="DF53" s="92"/>
      <c r="DG53" s="91"/>
      <c r="DH53" s="92"/>
      <c r="DI53" s="92"/>
      <c r="DJ53" s="92"/>
      <c r="DK53" s="91"/>
      <c r="DL53" s="92"/>
      <c r="DM53" s="98"/>
      <c r="DN53" s="99"/>
      <c r="DO53" s="99"/>
      <c r="DP53" s="88"/>
      <c r="FK53" s="93"/>
      <c r="FL53" s="92"/>
      <c r="FM53" s="92"/>
      <c r="FN53" s="92"/>
      <c r="FO53" s="91"/>
      <c r="FP53" s="92"/>
      <c r="FQ53" s="92"/>
      <c r="FR53" s="92"/>
      <c r="FS53" s="91"/>
      <c r="FT53" s="92"/>
      <c r="FU53" s="92"/>
      <c r="FV53" s="92"/>
      <c r="FW53" s="91"/>
      <c r="FX53" s="92"/>
      <c r="FY53" s="92"/>
      <c r="FZ53" s="92"/>
      <c r="GA53" s="91"/>
      <c r="GB53" s="92"/>
      <c r="GC53" s="94"/>
    </row>
    <row r="54" spans="1:501" s="71" customFormat="1" ht="9.75" customHeight="1" thickBot="1" x14ac:dyDescent="0.25">
      <c r="A54" s="6">
        <v>13.3</v>
      </c>
      <c r="B54" s="103"/>
      <c r="C54" s="95"/>
      <c r="D54" s="92"/>
      <c r="E54" s="99"/>
      <c r="F54" s="99"/>
      <c r="G54" s="92"/>
      <c r="H54" s="91"/>
      <c r="I54" s="92"/>
      <c r="J54" s="92"/>
      <c r="K54" s="92"/>
      <c r="L54" s="91"/>
      <c r="M54" s="92"/>
      <c r="N54" s="92"/>
      <c r="P54" s="89"/>
      <c r="R54" s="88"/>
      <c r="AW54" s="93"/>
      <c r="AX54" s="92"/>
      <c r="AY54" s="92"/>
      <c r="AZ54" s="91"/>
      <c r="BA54" s="92"/>
      <c r="BB54" s="92"/>
      <c r="BC54" s="92"/>
      <c r="BD54" s="91"/>
      <c r="BE54" s="92"/>
      <c r="BF54" s="92"/>
      <c r="BG54" s="92"/>
      <c r="BH54" s="91"/>
      <c r="BI54" s="92"/>
      <c r="BJ54" s="92"/>
      <c r="BK54" s="92"/>
      <c r="BL54" s="91"/>
      <c r="BM54" s="92"/>
      <c r="BN54" s="98"/>
      <c r="BO54" s="99"/>
      <c r="BP54" s="99"/>
      <c r="BQ54" s="88"/>
      <c r="CV54" s="93"/>
      <c r="CW54" s="92"/>
      <c r="CX54" s="92"/>
      <c r="CY54" s="92"/>
      <c r="CZ54" s="91"/>
      <c r="DA54" s="92"/>
      <c r="DB54" s="92"/>
      <c r="DC54" s="92"/>
      <c r="DD54" s="91"/>
      <c r="DE54" s="92"/>
      <c r="DF54" s="92"/>
      <c r="DG54" s="92"/>
      <c r="DH54" s="91"/>
      <c r="DI54" s="92"/>
      <c r="DJ54" s="92"/>
      <c r="DK54" s="92"/>
      <c r="DL54" s="91"/>
      <c r="DM54" s="92"/>
      <c r="DN54" s="92"/>
      <c r="DO54" s="92"/>
      <c r="DP54" s="88"/>
      <c r="FK54" s="93"/>
      <c r="FO54" s="92"/>
      <c r="FP54" s="91"/>
      <c r="FQ54" s="92"/>
      <c r="FR54" s="92"/>
      <c r="FS54" s="92"/>
      <c r="FT54" s="91"/>
      <c r="FU54" s="92"/>
      <c r="FV54" s="92"/>
      <c r="FW54" s="92"/>
      <c r="FX54" s="91"/>
      <c r="FY54" s="92"/>
      <c r="FZ54" s="92"/>
      <c r="GB54" s="89"/>
      <c r="GC54" s="93"/>
    </row>
    <row r="55" spans="1:501" s="71" customFormat="1" ht="9.75" customHeight="1" thickBot="1" x14ac:dyDescent="0.25">
      <c r="A55" s="6">
        <v>6.7</v>
      </c>
      <c r="B55" s="103"/>
      <c r="C55" s="92"/>
      <c r="D55" s="95"/>
      <c r="E55" s="92"/>
      <c r="F55" s="92"/>
      <c r="G55" s="92"/>
      <c r="H55" s="92"/>
      <c r="I55" s="91"/>
      <c r="J55" s="92"/>
      <c r="K55" s="92"/>
      <c r="L55" s="92"/>
      <c r="M55" s="91"/>
      <c r="N55" s="92"/>
      <c r="O55" s="98"/>
      <c r="P55" s="99"/>
      <c r="Q55" s="99"/>
      <c r="R55" s="111"/>
      <c r="S55" s="90"/>
      <c r="T55" s="90"/>
      <c r="U55" s="90"/>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113"/>
      <c r="AX55" s="92"/>
      <c r="AY55" s="92"/>
      <c r="AZ55" s="92"/>
      <c r="BA55" s="91"/>
      <c r="BB55" s="92"/>
      <c r="BC55" s="92"/>
      <c r="BD55" s="92"/>
      <c r="BE55" s="91"/>
      <c r="BF55" s="92"/>
      <c r="BG55" s="92"/>
      <c r="BH55" s="92"/>
      <c r="BI55" s="91"/>
      <c r="BJ55" s="92"/>
      <c r="BK55" s="92"/>
      <c r="BL55" s="92"/>
      <c r="BM55" s="91"/>
      <c r="BN55" s="92"/>
      <c r="BO55" s="92"/>
      <c r="BP55" s="92"/>
      <c r="BQ55" s="111"/>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113"/>
      <c r="CW55" s="92"/>
      <c r="CX55" s="92"/>
      <c r="CY55" s="92"/>
      <c r="CZ55" s="92"/>
      <c r="DA55" s="91"/>
      <c r="DB55" s="92"/>
      <c r="DC55" s="92"/>
      <c r="DD55" s="92"/>
      <c r="DE55" s="91"/>
      <c r="DF55" s="92"/>
      <c r="DG55" s="92"/>
      <c r="DH55" s="92"/>
      <c r="DI55" s="91"/>
      <c r="DJ55" s="92"/>
      <c r="DK55" s="92"/>
      <c r="DL55" s="92"/>
      <c r="DM55" s="91"/>
      <c r="DN55" s="92"/>
      <c r="DO55" s="92"/>
      <c r="DP55" s="111"/>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113"/>
      <c r="FL55" s="99"/>
      <c r="FM55" s="99"/>
      <c r="FN55" s="101"/>
      <c r="FO55" s="92"/>
      <c r="FP55" s="92"/>
      <c r="FQ55" s="91"/>
      <c r="FR55" s="92"/>
      <c r="FS55" s="92"/>
      <c r="FT55" s="92"/>
      <c r="FU55" s="91"/>
      <c r="FV55" s="92"/>
      <c r="FW55" s="92"/>
      <c r="FX55" s="92"/>
      <c r="FY55" s="91"/>
      <c r="FZ55" s="92"/>
      <c r="GA55" s="98"/>
      <c r="GB55" s="99"/>
      <c r="GC55" s="100"/>
    </row>
    <row r="56" spans="1:501" ht="33.75" customHeight="1" x14ac:dyDescent="0.25">
      <c r="B56" s="4">
        <v>6</v>
      </c>
      <c r="C56" s="4">
        <v>12</v>
      </c>
      <c r="D56" s="4">
        <v>18</v>
      </c>
      <c r="E56" s="4">
        <v>24</v>
      </c>
      <c r="F56" s="4">
        <v>30</v>
      </c>
      <c r="G56" s="4">
        <v>36</v>
      </c>
      <c r="H56" s="4">
        <v>42</v>
      </c>
      <c r="I56" s="4">
        <v>48</v>
      </c>
      <c r="J56" s="4">
        <v>54</v>
      </c>
      <c r="K56" s="4">
        <v>60</v>
      </c>
      <c r="L56" s="4">
        <v>66</v>
      </c>
      <c r="M56" s="4">
        <v>72</v>
      </c>
      <c r="N56" s="4">
        <v>78</v>
      </c>
      <c r="O56" s="4">
        <v>84</v>
      </c>
      <c r="P56" s="4">
        <v>90</v>
      </c>
      <c r="Q56" s="4">
        <v>96</v>
      </c>
      <c r="R56" s="4">
        <v>102</v>
      </c>
      <c r="S56" s="4">
        <v>108</v>
      </c>
      <c r="T56" s="4">
        <v>114</v>
      </c>
      <c r="U56" s="4">
        <v>120</v>
      </c>
      <c r="V56" s="4">
        <v>126</v>
      </c>
      <c r="W56" s="4">
        <v>132</v>
      </c>
      <c r="X56" s="4">
        <v>138</v>
      </c>
      <c r="Y56" s="4">
        <v>144</v>
      </c>
      <c r="Z56" s="4">
        <v>150</v>
      </c>
      <c r="AA56" s="4">
        <v>156</v>
      </c>
      <c r="AB56" s="4">
        <v>162</v>
      </c>
      <c r="AC56" s="4">
        <v>168</v>
      </c>
      <c r="AD56" s="4">
        <v>174</v>
      </c>
      <c r="AE56" s="4">
        <v>180</v>
      </c>
      <c r="AF56" s="4">
        <v>186</v>
      </c>
      <c r="AG56" s="4">
        <v>192</v>
      </c>
      <c r="AH56" s="4">
        <v>198</v>
      </c>
      <c r="AI56" s="4">
        <v>204</v>
      </c>
      <c r="AJ56" s="4">
        <v>210</v>
      </c>
      <c r="AK56" s="4">
        <v>216</v>
      </c>
      <c r="AL56" s="4">
        <v>222</v>
      </c>
      <c r="AM56" s="4">
        <v>228</v>
      </c>
      <c r="AN56" s="4">
        <v>234</v>
      </c>
      <c r="AO56" s="4">
        <v>240</v>
      </c>
      <c r="AP56" s="4">
        <v>246</v>
      </c>
      <c r="AQ56" s="4">
        <v>252</v>
      </c>
      <c r="AR56" s="4">
        <v>258</v>
      </c>
      <c r="AS56" s="4">
        <v>264</v>
      </c>
      <c r="AT56" s="4">
        <v>270</v>
      </c>
      <c r="AU56" s="4">
        <v>276</v>
      </c>
      <c r="AV56" s="4">
        <v>282</v>
      </c>
      <c r="AW56" s="4">
        <v>288</v>
      </c>
      <c r="AX56" s="4">
        <v>294</v>
      </c>
      <c r="AY56" s="4">
        <v>300</v>
      </c>
      <c r="AZ56" s="4">
        <v>306</v>
      </c>
      <c r="BA56" s="4">
        <v>312</v>
      </c>
      <c r="BB56" s="4">
        <v>318</v>
      </c>
      <c r="BC56" s="4">
        <v>324</v>
      </c>
      <c r="BD56" s="4">
        <v>330</v>
      </c>
      <c r="BE56" s="4">
        <v>336</v>
      </c>
      <c r="BF56" s="4">
        <v>342</v>
      </c>
      <c r="BG56" s="4">
        <v>348</v>
      </c>
      <c r="BH56" s="4">
        <v>354</v>
      </c>
      <c r="BI56" s="4">
        <v>360</v>
      </c>
      <c r="BJ56" s="4">
        <v>366</v>
      </c>
      <c r="BK56" s="4">
        <v>372</v>
      </c>
      <c r="BL56" s="4">
        <v>378</v>
      </c>
      <c r="BM56" s="4">
        <v>384</v>
      </c>
      <c r="BN56" s="4">
        <v>390</v>
      </c>
      <c r="BO56" s="4">
        <v>396</v>
      </c>
      <c r="BP56" s="4">
        <v>402</v>
      </c>
      <c r="BQ56" s="4">
        <v>408</v>
      </c>
      <c r="BR56" s="4">
        <v>414</v>
      </c>
      <c r="BS56" s="4">
        <v>420</v>
      </c>
      <c r="BT56" s="4">
        <v>426</v>
      </c>
      <c r="BU56" s="4">
        <v>432</v>
      </c>
      <c r="BV56" s="4">
        <v>438</v>
      </c>
      <c r="BW56" s="4">
        <v>444</v>
      </c>
      <c r="BX56" s="4">
        <v>450</v>
      </c>
      <c r="BY56" s="4">
        <v>456</v>
      </c>
      <c r="BZ56" s="4">
        <v>462</v>
      </c>
      <c r="CA56" s="4">
        <v>468</v>
      </c>
      <c r="CB56" s="4">
        <v>474</v>
      </c>
      <c r="CC56" s="4">
        <v>480</v>
      </c>
      <c r="CD56" s="4">
        <v>486</v>
      </c>
      <c r="CE56" s="4">
        <v>492</v>
      </c>
      <c r="CF56" s="4">
        <v>498</v>
      </c>
      <c r="CG56" s="4">
        <v>504</v>
      </c>
      <c r="CH56" s="4">
        <v>510</v>
      </c>
      <c r="CI56" s="4">
        <v>516</v>
      </c>
      <c r="CJ56" s="4">
        <v>522</v>
      </c>
      <c r="CK56" s="4">
        <v>528</v>
      </c>
      <c r="CL56" s="4">
        <v>534</v>
      </c>
      <c r="CM56" s="4">
        <v>540</v>
      </c>
      <c r="CN56" s="4">
        <v>546</v>
      </c>
      <c r="CO56" s="4">
        <v>552</v>
      </c>
      <c r="CP56" s="4">
        <v>558</v>
      </c>
      <c r="CQ56" s="4">
        <v>564</v>
      </c>
      <c r="CR56" s="4">
        <v>570</v>
      </c>
      <c r="CS56" s="4">
        <v>576</v>
      </c>
      <c r="CT56" s="4">
        <v>582</v>
      </c>
      <c r="CU56" s="4">
        <v>588</v>
      </c>
      <c r="CV56" s="4">
        <v>594</v>
      </c>
      <c r="CW56" s="4">
        <v>600</v>
      </c>
      <c r="CX56" s="4">
        <v>606</v>
      </c>
      <c r="CY56" s="4">
        <v>612</v>
      </c>
      <c r="CZ56" s="4">
        <v>618</v>
      </c>
      <c r="DA56" s="4">
        <v>624</v>
      </c>
      <c r="DB56" s="4">
        <v>630</v>
      </c>
      <c r="DC56" s="4">
        <v>636</v>
      </c>
      <c r="DD56" s="4">
        <v>642</v>
      </c>
      <c r="DE56" s="4">
        <v>648</v>
      </c>
      <c r="DF56" s="4">
        <v>654</v>
      </c>
      <c r="DG56" s="4">
        <v>660</v>
      </c>
      <c r="DH56" s="4">
        <v>666</v>
      </c>
      <c r="DI56" s="4">
        <v>672</v>
      </c>
      <c r="DJ56" s="4">
        <v>678</v>
      </c>
      <c r="DK56" s="4">
        <v>684</v>
      </c>
      <c r="DL56" s="4">
        <v>690</v>
      </c>
      <c r="DM56" s="4">
        <v>696</v>
      </c>
      <c r="DN56" s="4">
        <v>702</v>
      </c>
      <c r="DO56" s="4">
        <v>708</v>
      </c>
      <c r="DP56" s="4">
        <v>714</v>
      </c>
      <c r="DQ56" s="4">
        <v>720</v>
      </c>
      <c r="DR56" s="4">
        <v>726</v>
      </c>
      <c r="DS56" s="4">
        <v>732</v>
      </c>
      <c r="DT56" s="4">
        <v>738</v>
      </c>
      <c r="DU56" s="4">
        <v>744</v>
      </c>
      <c r="DV56" s="4">
        <v>750</v>
      </c>
      <c r="DW56" s="4">
        <v>756</v>
      </c>
      <c r="DX56" s="4">
        <v>762</v>
      </c>
      <c r="DY56" s="4">
        <v>768</v>
      </c>
      <c r="DZ56" s="4">
        <v>774</v>
      </c>
      <c r="EA56" s="4">
        <v>780</v>
      </c>
      <c r="EB56" s="4">
        <v>786</v>
      </c>
      <c r="EC56" s="4">
        <v>792</v>
      </c>
      <c r="ED56" s="4">
        <v>798</v>
      </c>
      <c r="EE56" s="4">
        <v>804</v>
      </c>
      <c r="EF56" s="4">
        <v>810</v>
      </c>
      <c r="EG56" s="4">
        <v>816</v>
      </c>
      <c r="EH56" s="4">
        <v>822</v>
      </c>
      <c r="EI56" s="4">
        <v>828</v>
      </c>
      <c r="EJ56" s="4">
        <v>834</v>
      </c>
      <c r="EK56" s="4">
        <v>840</v>
      </c>
      <c r="EL56" s="4">
        <v>846</v>
      </c>
      <c r="EM56" s="4">
        <v>852</v>
      </c>
      <c r="EN56" s="4">
        <v>858</v>
      </c>
      <c r="EO56" s="4">
        <v>864</v>
      </c>
      <c r="EP56" s="4">
        <v>870</v>
      </c>
      <c r="EQ56" s="4">
        <v>876</v>
      </c>
      <c r="ER56" s="4">
        <v>882</v>
      </c>
      <c r="ES56" s="4">
        <v>888</v>
      </c>
      <c r="ET56" s="4">
        <v>894</v>
      </c>
      <c r="EU56" s="4">
        <v>900</v>
      </c>
      <c r="EV56" s="4">
        <v>906</v>
      </c>
      <c r="EW56" s="4">
        <v>912</v>
      </c>
      <c r="EX56" s="4">
        <v>918</v>
      </c>
      <c r="EY56" s="4">
        <v>924</v>
      </c>
      <c r="EZ56" s="4">
        <v>930</v>
      </c>
      <c r="FA56" s="4">
        <v>936</v>
      </c>
      <c r="FB56" s="4">
        <v>942</v>
      </c>
      <c r="FC56" s="4">
        <v>948</v>
      </c>
      <c r="FD56" s="4">
        <v>954</v>
      </c>
      <c r="FE56" s="4">
        <v>960</v>
      </c>
      <c r="FF56" s="4">
        <v>966</v>
      </c>
      <c r="FG56" s="4">
        <v>972</v>
      </c>
      <c r="FH56" s="4">
        <v>978</v>
      </c>
      <c r="FI56" s="4">
        <v>984</v>
      </c>
      <c r="FJ56" s="4">
        <v>990</v>
      </c>
      <c r="FK56" s="4">
        <v>996</v>
      </c>
      <c r="FL56" s="4">
        <v>1002</v>
      </c>
      <c r="FM56" s="4">
        <v>1008</v>
      </c>
      <c r="FN56" s="4">
        <v>1014</v>
      </c>
      <c r="FO56" s="4">
        <v>1020</v>
      </c>
      <c r="FP56" s="4">
        <v>1026</v>
      </c>
      <c r="FQ56" s="4">
        <v>1032</v>
      </c>
      <c r="FR56" s="4">
        <v>1038</v>
      </c>
      <c r="FS56" s="4">
        <v>1044</v>
      </c>
      <c r="FT56" s="4">
        <v>1050</v>
      </c>
      <c r="FU56" s="4">
        <v>1056</v>
      </c>
      <c r="FV56" s="4">
        <v>1062</v>
      </c>
      <c r="FW56" s="4">
        <v>1068</v>
      </c>
      <c r="FX56" s="4">
        <v>1074</v>
      </c>
      <c r="FY56" s="4">
        <v>1080</v>
      </c>
      <c r="FZ56" s="4">
        <v>1086</v>
      </c>
      <c r="GA56" s="4">
        <v>1092</v>
      </c>
      <c r="GB56" s="4">
        <v>1098</v>
      </c>
      <c r="GC56" s="4">
        <v>1104</v>
      </c>
      <c r="GD56" s="4">
        <v>1110</v>
      </c>
      <c r="GE56" s="4">
        <v>1116</v>
      </c>
      <c r="GF56" s="4">
        <v>1122</v>
      </c>
      <c r="GG56" s="4">
        <v>1128</v>
      </c>
      <c r="GH56" s="4">
        <v>1134</v>
      </c>
      <c r="GI56" s="4">
        <v>1140</v>
      </c>
      <c r="GJ56" s="4">
        <v>1146</v>
      </c>
      <c r="GK56" s="4">
        <v>1152</v>
      </c>
      <c r="GL56" s="4">
        <v>1158</v>
      </c>
      <c r="GM56" s="4">
        <v>1164</v>
      </c>
      <c r="GN56" s="4">
        <v>1170</v>
      </c>
      <c r="GO56" s="4">
        <v>1176</v>
      </c>
      <c r="GP56" s="4">
        <v>1182</v>
      </c>
      <c r="GQ56" s="4">
        <v>1188</v>
      </c>
      <c r="GR56" s="4">
        <v>1194</v>
      </c>
      <c r="GS56" s="4">
        <v>1200</v>
      </c>
      <c r="GT56" s="4">
        <v>1206</v>
      </c>
      <c r="GU56" s="4">
        <v>1212</v>
      </c>
      <c r="GV56" s="4">
        <v>1218</v>
      </c>
      <c r="GW56" s="4">
        <v>1224</v>
      </c>
      <c r="GX56" s="4">
        <v>1230</v>
      </c>
      <c r="GY56" s="4">
        <v>1236</v>
      </c>
      <c r="GZ56" s="4">
        <v>1242</v>
      </c>
      <c r="HA56" s="4">
        <v>1248</v>
      </c>
      <c r="HB56" s="4">
        <v>1254</v>
      </c>
      <c r="HC56" s="4">
        <v>1260</v>
      </c>
      <c r="HD56" s="4">
        <v>1266</v>
      </c>
      <c r="HE56" s="4">
        <v>1272</v>
      </c>
      <c r="HF56" s="4">
        <v>1278</v>
      </c>
      <c r="HG56" s="4">
        <v>1284</v>
      </c>
      <c r="HH56" s="4">
        <v>1290</v>
      </c>
      <c r="HI56" s="4">
        <v>1296</v>
      </c>
      <c r="HJ56" s="4">
        <v>1302</v>
      </c>
      <c r="HK56" s="4">
        <v>1308</v>
      </c>
      <c r="HL56" s="4">
        <v>1314</v>
      </c>
      <c r="HM56" s="4">
        <v>1320</v>
      </c>
      <c r="HN56" s="4">
        <v>1326</v>
      </c>
      <c r="HO56" s="4">
        <v>1332</v>
      </c>
      <c r="HP56" s="4">
        <v>1338</v>
      </c>
      <c r="HQ56" s="4">
        <v>1344</v>
      </c>
      <c r="HR56" s="4">
        <v>1350</v>
      </c>
      <c r="HS56" s="4">
        <v>1356</v>
      </c>
      <c r="HT56" s="4">
        <v>1362</v>
      </c>
      <c r="HU56" s="4">
        <v>1368</v>
      </c>
      <c r="HV56" s="4">
        <v>1374</v>
      </c>
      <c r="HW56" s="4">
        <v>1380</v>
      </c>
      <c r="HX56" s="4">
        <v>1386</v>
      </c>
      <c r="HY56" s="4">
        <v>1392</v>
      </c>
      <c r="HZ56" s="4">
        <v>1398</v>
      </c>
      <c r="IA56" s="4">
        <v>1404</v>
      </c>
      <c r="IB56" s="4">
        <v>1410</v>
      </c>
      <c r="IC56" s="4">
        <v>1416</v>
      </c>
      <c r="ID56" s="4">
        <v>1422</v>
      </c>
      <c r="IE56" s="4">
        <v>1428</v>
      </c>
      <c r="IF56" s="4">
        <v>1434</v>
      </c>
      <c r="IG56" s="4">
        <v>1440</v>
      </c>
      <c r="IH56" s="4">
        <v>1446</v>
      </c>
      <c r="II56" s="4">
        <v>1452</v>
      </c>
      <c r="IJ56" s="4">
        <v>1458</v>
      </c>
      <c r="IK56" s="4">
        <v>1464</v>
      </c>
      <c r="IL56" s="4">
        <v>1470</v>
      </c>
      <c r="IM56" s="4">
        <v>1476</v>
      </c>
      <c r="IN56" s="4">
        <v>1482</v>
      </c>
      <c r="IO56" s="4">
        <v>1488</v>
      </c>
      <c r="IP56" s="4">
        <v>1494</v>
      </c>
      <c r="IQ56" s="4">
        <v>1500</v>
      </c>
      <c r="IR56" s="4">
        <v>1506</v>
      </c>
      <c r="IS56" s="4">
        <v>1512</v>
      </c>
      <c r="IT56" s="4">
        <v>1518</v>
      </c>
      <c r="IU56" s="4">
        <v>1524</v>
      </c>
      <c r="IV56" s="4">
        <v>1530</v>
      </c>
      <c r="IW56" s="4">
        <v>1536</v>
      </c>
      <c r="IX56" s="4">
        <v>1542</v>
      </c>
      <c r="IY56" s="4">
        <v>1548</v>
      </c>
      <c r="IZ56" s="4">
        <v>1554</v>
      </c>
      <c r="JA56" s="4">
        <v>1560</v>
      </c>
      <c r="JB56" s="4">
        <v>1566</v>
      </c>
      <c r="JC56" s="4">
        <v>1572</v>
      </c>
      <c r="JD56" s="4">
        <v>1578</v>
      </c>
      <c r="JE56" s="4">
        <v>1584</v>
      </c>
      <c r="JF56" s="4">
        <v>1590</v>
      </c>
      <c r="JG56" s="4">
        <v>1596</v>
      </c>
      <c r="JH56" s="4">
        <v>1602</v>
      </c>
      <c r="JI56" s="4">
        <v>1608</v>
      </c>
      <c r="JJ56" s="4">
        <v>1614</v>
      </c>
      <c r="JK56" s="4">
        <v>1620</v>
      </c>
      <c r="JL56" s="4">
        <v>1626</v>
      </c>
      <c r="JM56" s="4">
        <v>1632</v>
      </c>
      <c r="JN56" s="4">
        <v>1638</v>
      </c>
      <c r="JO56" s="4">
        <v>1644</v>
      </c>
      <c r="JP56" s="4">
        <v>1650</v>
      </c>
      <c r="JQ56" s="4">
        <v>1656</v>
      </c>
      <c r="JR56" s="4">
        <v>1662</v>
      </c>
      <c r="JS56" s="4">
        <v>1668</v>
      </c>
      <c r="JT56" s="4">
        <v>1674</v>
      </c>
      <c r="JU56" s="4">
        <v>1680</v>
      </c>
      <c r="JV56" s="4">
        <v>1686</v>
      </c>
      <c r="JW56" s="4">
        <v>1692</v>
      </c>
      <c r="JX56" s="4">
        <v>1698</v>
      </c>
      <c r="JY56" s="4">
        <v>1704</v>
      </c>
      <c r="JZ56" s="4">
        <v>1710</v>
      </c>
      <c r="KA56" s="4">
        <v>1716</v>
      </c>
      <c r="KB56" s="4">
        <v>1722</v>
      </c>
      <c r="KC56" s="4">
        <v>1728</v>
      </c>
      <c r="KD56" s="4">
        <v>1734</v>
      </c>
      <c r="KE56" s="4">
        <v>1740</v>
      </c>
      <c r="KF56" s="4">
        <v>1746</v>
      </c>
      <c r="KG56" s="4">
        <v>1752</v>
      </c>
      <c r="KH56" s="4">
        <v>1758</v>
      </c>
      <c r="KI56" s="4">
        <v>1764</v>
      </c>
      <c r="KJ56" s="4">
        <v>1770</v>
      </c>
      <c r="KK56" s="4">
        <v>1776</v>
      </c>
      <c r="KL56" s="4">
        <v>1782</v>
      </c>
      <c r="KM56" s="4">
        <v>1788</v>
      </c>
      <c r="KN56" s="4">
        <v>1794</v>
      </c>
      <c r="KO56" s="4">
        <v>1800</v>
      </c>
      <c r="KP56" s="4">
        <v>1806</v>
      </c>
      <c r="KQ56" s="4">
        <v>1812</v>
      </c>
      <c r="KR56" s="4">
        <v>1818</v>
      </c>
      <c r="KS56" s="4">
        <v>1824</v>
      </c>
      <c r="KT56" s="4">
        <v>1830</v>
      </c>
      <c r="KU56" s="4">
        <v>1836</v>
      </c>
      <c r="KV56" s="4">
        <v>1842</v>
      </c>
      <c r="KW56" s="4">
        <v>1848</v>
      </c>
      <c r="KX56" s="4">
        <v>1854</v>
      </c>
      <c r="KY56" s="4">
        <v>1860</v>
      </c>
      <c r="KZ56" s="4">
        <v>1866</v>
      </c>
      <c r="LA56" s="4">
        <v>1872</v>
      </c>
      <c r="LB56" s="4">
        <v>1878</v>
      </c>
      <c r="LC56" s="4">
        <v>1884</v>
      </c>
      <c r="LD56" s="4">
        <v>1890</v>
      </c>
      <c r="LE56" s="4">
        <v>1896</v>
      </c>
      <c r="LF56" s="4">
        <v>1902</v>
      </c>
      <c r="LG56" s="4">
        <v>1908</v>
      </c>
      <c r="LH56" s="4">
        <v>1914</v>
      </c>
      <c r="LI56" s="4">
        <v>1920</v>
      </c>
      <c r="LJ56" s="4">
        <v>1926</v>
      </c>
      <c r="LK56" s="4">
        <v>1932</v>
      </c>
      <c r="LL56" s="4">
        <v>1938</v>
      </c>
      <c r="LM56" s="4">
        <v>1944</v>
      </c>
      <c r="LN56" s="4">
        <v>1950</v>
      </c>
      <c r="LO56" s="4">
        <v>1956</v>
      </c>
      <c r="LP56" s="4">
        <v>1962</v>
      </c>
      <c r="LQ56" s="4">
        <v>1968</v>
      </c>
      <c r="LR56" s="4">
        <v>1974</v>
      </c>
      <c r="LS56" s="4">
        <v>1980</v>
      </c>
      <c r="LT56" s="4">
        <v>1986</v>
      </c>
      <c r="LU56" s="4">
        <v>1992</v>
      </c>
      <c r="LV56" s="4">
        <v>1998</v>
      </c>
      <c r="LW56" s="4">
        <v>2004</v>
      </c>
      <c r="LX56" s="4">
        <v>2010</v>
      </c>
      <c r="LY56" s="4">
        <v>2016</v>
      </c>
      <c r="LZ56" s="4">
        <v>2022</v>
      </c>
      <c r="MA56" s="4">
        <v>2028</v>
      </c>
      <c r="MB56" s="4">
        <v>2034</v>
      </c>
      <c r="MC56" s="4">
        <v>2040</v>
      </c>
      <c r="MD56" s="4">
        <v>2046</v>
      </c>
      <c r="ME56" s="4">
        <v>2052</v>
      </c>
      <c r="MF56" s="4">
        <v>2058</v>
      </c>
      <c r="MG56" s="4">
        <v>2064</v>
      </c>
      <c r="MH56" s="4">
        <v>2070</v>
      </c>
      <c r="MI56" s="4">
        <v>2076</v>
      </c>
      <c r="MJ56" s="4">
        <v>2082</v>
      </c>
      <c r="MK56" s="4">
        <v>2088</v>
      </c>
      <c r="ML56" s="4">
        <v>2094</v>
      </c>
      <c r="MM56" s="4">
        <v>2100</v>
      </c>
      <c r="MN56" s="4">
        <v>2106</v>
      </c>
      <c r="MO56" s="4">
        <v>2112</v>
      </c>
      <c r="MP56" s="4">
        <v>2118</v>
      </c>
      <c r="MQ56" s="4">
        <v>2124</v>
      </c>
      <c r="MR56" s="4">
        <v>2130</v>
      </c>
      <c r="MS56" s="4">
        <v>2136</v>
      </c>
      <c r="MT56" s="4">
        <v>2142</v>
      </c>
      <c r="MU56" s="4">
        <v>2148</v>
      </c>
      <c r="MV56" s="4">
        <v>2154</v>
      </c>
      <c r="MW56" s="4">
        <v>2160</v>
      </c>
      <c r="MX56" s="4">
        <v>2166</v>
      </c>
      <c r="MY56" s="4">
        <v>2172</v>
      </c>
      <c r="MZ56" s="4">
        <v>2178</v>
      </c>
      <c r="NA56" s="4">
        <v>2184</v>
      </c>
      <c r="NB56" s="4">
        <v>2190</v>
      </c>
      <c r="NC56" s="4">
        <v>2196</v>
      </c>
      <c r="ND56" s="4">
        <v>2202</v>
      </c>
      <c r="NE56" s="4">
        <v>2208</v>
      </c>
      <c r="NF56" s="4">
        <v>2214</v>
      </c>
      <c r="NG56" s="4">
        <v>2220</v>
      </c>
      <c r="NH56" s="4">
        <v>2226</v>
      </c>
      <c r="NI56" s="4">
        <v>2232</v>
      </c>
      <c r="NJ56" s="4">
        <v>2238</v>
      </c>
      <c r="NK56" s="4">
        <v>2244</v>
      </c>
      <c r="NL56" s="4">
        <v>2250</v>
      </c>
      <c r="NM56" s="4">
        <v>2256</v>
      </c>
      <c r="NN56" s="4">
        <v>2262</v>
      </c>
      <c r="NO56" s="4">
        <v>2268</v>
      </c>
      <c r="NP56" s="4">
        <v>2274</v>
      </c>
      <c r="NQ56" s="4">
        <v>2280</v>
      </c>
      <c r="NR56" s="4">
        <v>2286</v>
      </c>
      <c r="NS56" s="4">
        <v>2292</v>
      </c>
      <c r="NT56" s="4">
        <v>2298</v>
      </c>
      <c r="NU56" s="4">
        <v>2304</v>
      </c>
      <c r="NV56" s="4">
        <v>2310</v>
      </c>
      <c r="NW56" s="4">
        <v>2316</v>
      </c>
      <c r="NX56" s="4">
        <v>2322</v>
      </c>
      <c r="NY56" s="4">
        <v>2328</v>
      </c>
      <c r="NZ56" s="4">
        <v>2334</v>
      </c>
      <c r="OA56" s="4">
        <v>2340</v>
      </c>
      <c r="OB56" s="4">
        <v>2346</v>
      </c>
      <c r="OC56" s="4">
        <v>2352</v>
      </c>
      <c r="OD56" s="4">
        <v>2358</v>
      </c>
      <c r="OE56" s="4">
        <v>2364</v>
      </c>
      <c r="OF56" s="4">
        <v>2370</v>
      </c>
      <c r="OG56" s="4">
        <v>2376</v>
      </c>
      <c r="OH56" s="4">
        <v>2382</v>
      </c>
      <c r="OI56" s="4">
        <v>2388</v>
      </c>
      <c r="OJ56" s="4">
        <v>2394</v>
      </c>
      <c r="OK56" s="4">
        <v>2400</v>
      </c>
      <c r="OL56" s="4">
        <v>2406</v>
      </c>
      <c r="OM56" s="4">
        <v>2412</v>
      </c>
      <c r="ON56" s="4">
        <v>2418</v>
      </c>
      <c r="OO56" s="4">
        <v>2424</v>
      </c>
      <c r="OP56" s="4">
        <v>2430</v>
      </c>
      <c r="OQ56" s="4">
        <v>2436</v>
      </c>
      <c r="OR56" s="4">
        <v>2442</v>
      </c>
      <c r="OS56" s="4">
        <v>2448</v>
      </c>
      <c r="OT56" s="4">
        <v>2454</v>
      </c>
      <c r="OU56" s="4">
        <v>2460</v>
      </c>
      <c r="OV56" s="4">
        <v>2466</v>
      </c>
      <c r="OW56" s="4">
        <v>2472</v>
      </c>
      <c r="OX56" s="4">
        <v>2478</v>
      </c>
      <c r="OY56" s="4">
        <v>2484</v>
      </c>
      <c r="OZ56" s="4">
        <v>2490</v>
      </c>
      <c r="PA56" s="4">
        <v>2496</v>
      </c>
      <c r="PB56" s="4">
        <v>2502</v>
      </c>
      <c r="PC56" s="4">
        <v>2508</v>
      </c>
      <c r="PD56" s="4">
        <v>2514</v>
      </c>
      <c r="PE56" s="4">
        <v>2520</v>
      </c>
      <c r="PF56" s="4">
        <v>2526</v>
      </c>
      <c r="PG56" s="4">
        <v>2532</v>
      </c>
      <c r="PH56" s="4">
        <v>2538</v>
      </c>
      <c r="PI56" s="4">
        <v>2544</v>
      </c>
      <c r="PJ56" s="4">
        <v>2550</v>
      </c>
      <c r="PK56" s="4">
        <v>2556</v>
      </c>
      <c r="PL56" s="4">
        <v>2562</v>
      </c>
      <c r="PM56" s="4">
        <v>2568</v>
      </c>
      <c r="PN56" s="4">
        <v>2574</v>
      </c>
      <c r="PO56" s="4">
        <v>2580</v>
      </c>
      <c r="PP56" s="4">
        <v>2586</v>
      </c>
      <c r="PQ56" s="4">
        <v>2592</v>
      </c>
      <c r="PR56" s="4">
        <v>2598</v>
      </c>
      <c r="PS56" s="4">
        <v>2604</v>
      </c>
      <c r="PT56" s="4">
        <v>2610</v>
      </c>
      <c r="PU56" s="4">
        <v>2616</v>
      </c>
      <c r="PV56" s="4">
        <v>2622</v>
      </c>
      <c r="PW56" s="4">
        <v>2628</v>
      </c>
      <c r="PX56" s="4">
        <v>2634</v>
      </c>
      <c r="PY56" s="4">
        <v>2640</v>
      </c>
      <c r="PZ56" s="4">
        <v>2646</v>
      </c>
      <c r="QA56" s="4">
        <v>2652</v>
      </c>
      <c r="QB56" s="4">
        <v>2658</v>
      </c>
      <c r="QC56" s="4">
        <v>2664</v>
      </c>
      <c r="QD56" s="4">
        <v>2670</v>
      </c>
      <c r="QE56" s="4">
        <v>2676</v>
      </c>
      <c r="QF56" s="4">
        <v>2682</v>
      </c>
      <c r="QG56" s="4">
        <v>2688</v>
      </c>
      <c r="QH56" s="4">
        <v>2694</v>
      </c>
      <c r="QI56" s="4">
        <v>2700</v>
      </c>
      <c r="QJ56" s="4">
        <v>2706</v>
      </c>
      <c r="QK56" s="4">
        <v>2712</v>
      </c>
      <c r="QL56" s="4">
        <v>2718</v>
      </c>
      <c r="QM56" s="4">
        <v>2724</v>
      </c>
      <c r="QN56" s="4">
        <v>2730</v>
      </c>
      <c r="QO56" s="4">
        <v>2736</v>
      </c>
      <c r="QP56" s="4">
        <v>2742</v>
      </c>
      <c r="QQ56" s="4">
        <v>2748</v>
      </c>
      <c r="QR56" s="4">
        <v>2754</v>
      </c>
      <c r="QS56" s="4">
        <v>2760</v>
      </c>
      <c r="QT56" s="4">
        <v>2766</v>
      </c>
      <c r="QU56" s="4">
        <v>2772</v>
      </c>
      <c r="QV56" s="4">
        <v>2778</v>
      </c>
      <c r="QW56" s="4">
        <v>2784</v>
      </c>
      <c r="QX56" s="4">
        <v>2790</v>
      </c>
      <c r="QY56" s="4">
        <v>2796</v>
      </c>
      <c r="QZ56" s="4">
        <v>2802</v>
      </c>
      <c r="RA56" s="4">
        <v>2808</v>
      </c>
      <c r="RB56" s="4">
        <v>2814</v>
      </c>
      <c r="RC56" s="4">
        <v>2820</v>
      </c>
      <c r="RD56" s="4">
        <v>2826</v>
      </c>
      <c r="RE56" s="4">
        <v>2832</v>
      </c>
      <c r="RF56" s="4">
        <v>2838</v>
      </c>
      <c r="RG56" s="4">
        <v>2844</v>
      </c>
      <c r="RH56" s="4">
        <v>2850</v>
      </c>
      <c r="RI56" s="4">
        <v>2856</v>
      </c>
      <c r="RJ56" s="4">
        <v>2862</v>
      </c>
      <c r="RK56" s="4">
        <v>2868</v>
      </c>
      <c r="RL56" s="4">
        <v>2874</v>
      </c>
      <c r="RM56" s="4">
        <v>2880</v>
      </c>
      <c r="RN56" s="4">
        <v>2886</v>
      </c>
      <c r="RO56" s="4">
        <v>2892</v>
      </c>
      <c r="RP56" s="4">
        <v>2898</v>
      </c>
      <c r="RQ56" s="4">
        <v>2904</v>
      </c>
      <c r="RR56" s="4">
        <v>2910</v>
      </c>
      <c r="RS56" s="4">
        <v>2916</v>
      </c>
      <c r="RT56" s="4">
        <v>2922</v>
      </c>
      <c r="RU56" s="4">
        <v>2928</v>
      </c>
      <c r="RV56" s="4">
        <v>2934</v>
      </c>
      <c r="RW56" s="4">
        <v>2940</v>
      </c>
      <c r="RX56" s="4">
        <v>2946</v>
      </c>
      <c r="RY56" s="4">
        <v>2952</v>
      </c>
      <c r="RZ56" s="4">
        <v>2958</v>
      </c>
      <c r="SA56" s="4">
        <v>2964</v>
      </c>
      <c r="SB56" s="4">
        <v>2970</v>
      </c>
      <c r="SC56" s="4">
        <v>2976</v>
      </c>
      <c r="SD56" s="4">
        <v>2982</v>
      </c>
      <c r="SE56" s="4">
        <v>2988</v>
      </c>
      <c r="SF56" s="4">
        <v>2994</v>
      </c>
      <c r="SG56" s="4">
        <v>3000</v>
      </c>
    </row>
    <row r="57" spans="1:501" ht="11.25" customHeight="1" x14ac:dyDescent="0.25">
      <c r="A57" s="15"/>
      <c r="B57" s="16"/>
      <c r="C57" s="16"/>
      <c r="D57" s="17"/>
      <c r="E57" s="17"/>
      <c r="F57" s="17"/>
      <c r="G57" s="17"/>
      <c r="H57" s="17"/>
      <c r="I57" s="16"/>
      <c r="J57" s="18"/>
    </row>
    <row r="58" spans="1:501" ht="11.25" customHeight="1" x14ac:dyDescent="0.25">
      <c r="A58" s="19"/>
      <c r="B58" s="14"/>
      <c r="C58" s="14"/>
      <c r="D58" s="14"/>
      <c r="E58" s="14"/>
      <c r="F58" s="14"/>
      <c r="G58" s="14"/>
      <c r="H58" s="14"/>
      <c r="I58" s="14"/>
      <c r="J58" s="20"/>
    </row>
    <row r="59" spans="1:501" ht="11.25" customHeight="1" x14ac:dyDescent="0.25">
      <c r="A59" s="19"/>
      <c r="B59" s="14"/>
      <c r="C59" s="14"/>
      <c r="D59" s="14"/>
      <c r="E59" s="14"/>
      <c r="F59" s="14"/>
      <c r="G59" s="14"/>
      <c r="H59" s="14"/>
      <c r="I59" s="14"/>
      <c r="J59" s="20"/>
    </row>
    <row r="60" spans="1:501" ht="11.25" customHeight="1" x14ac:dyDescent="0.25">
      <c r="A60" s="19"/>
      <c r="B60" s="14"/>
      <c r="C60" s="14"/>
      <c r="D60" s="14"/>
      <c r="E60" s="14"/>
      <c r="F60" s="14"/>
      <c r="G60" s="14"/>
      <c r="H60" s="14"/>
      <c r="I60" s="14"/>
      <c r="J60" s="20"/>
    </row>
    <row r="61" spans="1:501" ht="11.25" customHeight="1" x14ac:dyDescent="0.25">
      <c r="A61" s="19"/>
      <c r="B61" s="14"/>
      <c r="C61" s="14"/>
      <c r="D61" s="14"/>
      <c r="E61" s="14"/>
      <c r="F61" s="14"/>
      <c r="G61" s="14"/>
      <c r="H61" s="14"/>
      <c r="I61" s="14"/>
      <c r="J61" s="20"/>
    </row>
    <row r="62" spans="1:501" ht="11.25" customHeight="1" x14ac:dyDescent="0.25">
      <c r="A62" s="19"/>
      <c r="B62" s="14"/>
      <c r="C62" s="14"/>
      <c r="D62" s="14"/>
      <c r="E62" s="14"/>
      <c r="F62" s="14"/>
      <c r="G62" s="14"/>
      <c r="H62" s="14"/>
      <c r="I62" s="14"/>
      <c r="J62" s="20"/>
    </row>
    <row r="63" spans="1:501" ht="11.25" customHeight="1" x14ac:dyDescent="0.25">
      <c r="A63" s="19"/>
      <c r="B63" s="14"/>
      <c r="C63" s="14"/>
      <c r="D63" s="14"/>
      <c r="E63" s="14"/>
      <c r="F63" s="14"/>
      <c r="G63" s="14"/>
      <c r="H63" s="14"/>
      <c r="I63" s="14"/>
      <c r="J63" s="20"/>
    </row>
    <row r="64" spans="1:501" ht="11.25" customHeight="1" x14ac:dyDescent="0.25">
      <c r="A64" s="21"/>
      <c r="B64" s="22"/>
      <c r="C64" s="22"/>
      <c r="D64" s="22"/>
      <c r="E64" s="22"/>
      <c r="F64" s="22"/>
      <c r="G64" s="22"/>
      <c r="H64" s="22"/>
      <c r="I64" s="22"/>
      <c r="J64" s="23"/>
    </row>
    <row r="65" spans="1:1" ht="9.75" customHeight="1" x14ac:dyDescent="0.25">
      <c r="A65" s="70" t="s">
        <v>73</v>
      </c>
    </row>
    <row r="66" spans="1:1" ht="9.75" customHeight="1" x14ac:dyDescent="0.25">
      <c r="A66" s="1">
        <v>49</v>
      </c>
    </row>
    <row r="67" spans="1:1" ht="9.75" customHeight="1" x14ac:dyDescent="0.25">
      <c r="A67" s="1">
        <v>100</v>
      </c>
    </row>
    <row r="68" spans="1:1" ht="9.75" customHeight="1" x14ac:dyDescent="0.25">
      <c r="A68" s="1">
        <v>167</v>
      </c>
    </row>
  </sheetData>
  <pageMargins left="0.23622047244094491" right="0.23622047244094491" top="1.5354330708661419" bottom="0.55118110236220474" header="0.31496062992125984" footer="0.31496062992125984"/>
  <pageSetup paperSize="8" orientation="landscape" r:id="rId1"/>
  <headerFooter>
    <oddHeader>&amp;L&amp;G&amp;REgernsund Tegl - &amp;A</oddHeader>
    <oddFooter>&amp;R&amp;D
&amp;P ud af &amp;N</oddFooter>
  </headerFooter>
  <colBreaks count="1" manualBreakCount="1">
    <brk id="102" max="55"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indtast_vindue">
                <anchor moveWithCells="1" sizeWithCells="1">
                  <from>
                    <xdr:col>0</xdr:col>
                    <xdr:colOff>57150</xdr:colOff>
                    <xdr:row>56</xdr:row>
                    <xdr:rowOff>57150</xdr:rowOff>
                  </from>
                  <to>
                    <xdr:col>9</xdr:col>
                    <xdr:colOff>9525</xdr:colOff>
                    <xdr:row>58</xdr:row>
                    <xdr:rowOff>76200</xdr:rowOff>
                  </to>
                </anchor>
              </controlPr>
            </control>
          </mc:Choice>
        </mc:AlternateContent>
        <mc:AlternateContent xmlns:mc="http://schemas.openxmlformats.org/markup-compatibility/2006">
          <mc:Choice Requires="x14">
            <control shapeId="38914" r:id="rId6" name="Button 2">
              <controlPr defaultSize="0" print="0" autoFill="0" autoPict="0" macro="[0]!lav_pdf">
                <anchor moveWithCells="1" sizeWithCells="1">
                  <from>
                    <xdr:col>0</xdr:col>
                    <xdr:colOff>57150</xdr:colOff>
                    <xdr:row>58</xdr:row>
                    <xdr:rowOff>133350</xdr:rowOff>
                  </from>
                  <to>
                    <xdr:col>9</xdr:col>
                    <xdr:colOff>9525</xdr:colOff>
                    <xdr:row>61</xdr:row>
                    <xdr:rowOff>9525</xdr:rowOff>
                  </to>
                </anchor>
              </controlPr>
            </control>
          </mc:Choice>
        </mc:AlternateContent>
        <mc:AlternateContent xmlns:mc="http://schemas.openxmlformats.org/markup-compatibility/2006">
          <mc:Choice Requires="x14">
            <control shapeId="38915" r:id="rId7" name="Button 3">
              <controlPr defaultSize="0" print="0" autoFill="0" autoPict="0" macro="[0]!lav_pdfer">
                <anchor moveWithCells="1" sizeWithCells="1">
                  <from>
                    <xdr:col>0</xdr:col>
                    <xdr:colOff>57150</xdr:colOff>
                    <xdr:row>61</xdr:row>
                    <xdr:rowOff>66675</xdr:rowOff>
                  </from>
                  <to>
                    <xdr:col>9</xdr:col>
                    <xdr:colOff>9525</xdr:colOff>
                    <xdr:row>63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rk4">
    <tabColor rgb="FFFFFF00"/>
  </sheetPr>
  <dimension ref="A1:SG65"/>
  <sheetViews>
    <sheetView showGridLines="0" zoomScaleNormal="100" workbookViewId="0"/>
  </sheetViews>
  <sheetFormatPr defaultColWidth="1.7109375" defaultRowHeight="9.75" customHeight="1" x14ac:dyDescent="0.25"/>
  <cols>
    <col min="1" max="1" width="8.5703125" style="1" customWidth="1"/>
    <col min="2" max="501" width="1.7109375" style="2" customWidth="1"/>
    <col min="502" max="16384" width="1.7109375" style="2"/>
  </cols>
  <sheetData>
    <row r="1" spans="1:2" ht="30" customHeight="1" x14ac:dyDescent="0.25">
      <c r="B1" s="5" t="s">
        <v>0</v>
      </c>
    </row>
    <row r="2" spans="1:2" s="1" customFormat="1" ht="9.75" customHeight="1" x14ac:dyDescent="0.25">
      <c r="A2" s="3">
        <v>360</v>
      </c>
    </row>
    <row r="3" spans="1:2" s="1" customFormat="1" ht="9.75" customHeight="1" x14ac:dyDescent="0.25">
      <c r="A3" s="3">
        <v>353.3</v>
      </c>
    </row>
    <row r="4" spans="1:2" s="1" customFormat="1" ht="9.75" customHeight="1" x14ac:dyDescent="0.25">
      <c r="A4" s="3">
        <v>346.7</v>
      </c>
    </row>
    <row r="5" spans="1:2" s="1" customFormat="1" ht="9.75" customHeight="1" x14ac:dyDescent="0.25">
      <c r="A5" s="3">
        <v>340</v>
      </c>
    </row>
    <row r="6" spans="1:2" s="1" customFormat="1" ht="9.75" customHeight="1" x14ac:dyDescent="0.25">
      <c r="A6" s="3">
        <v>333.3</v>
      </c>
    </row>
    <row r="7" spans="1:2" s="1" customFormat="1" ht="9.75" customHeight="1" x14ac:dyDescent="0.25">
      <c r="A7" s="3">
        <v>326.7</v>
      </c>
    </row>
    <row r="8" spans="1:2" s="1" customFormat="1" ht="9.75" customHeight="1" x14ac:dyDescent="0.25">
      <c r="A8" s="3">
        <v>320</v>
      </c>
    </row>
    <row r="9" spans="1:2" s="1" customFormat="1" ht="9.75" customHeight="1" x14ac:dyDescent="0.25">
      <c r="A9" s="3">
        <v>313.3</v>
      </c>
    </row>
    <row r="10" spans="1:2" s="1" customFormat="1" ht="9.75" customHeight="1" x14ac:dyDescent="0.25">
      <c r="A10" s="3">
        <v>306.7</v>
      </c>
    </row>
    <row r="11" spans="1:2" s="1" customFormat="1" ht="9.75" customHeight="1" x14ac:dyDescent="0.25">
      <c r="A11" s="3">
        <v>300</v>
      </c>
    </row>
    <row r="12" spans="1:2" s="1" customFormat="1" ht="9.75" customHeight="1" x14ac:dyDescent="0.25">
      <c r="A12" s="3">
        <v>293.3</v>
      </c>
    </row>
    <row r="13" spans="1:2" s="1" customFormat="1" ht="9.75" customHeight="1" x14ac:dyDescent="0.25">
      <c r="A13" s="3">
        <v>286.7</v>
      </c>
    </row>
    <row r="14" spans="1:2" s="1" customFormat="1" ht="9.75" customHeight="1" x14ac:dyDescent="0.25">
      <c r="A14" s="3">
        <v>280</v>
      </c>
    </row>
    <row r="15" spans="1:2" s="1" customFormat="1" ht="9.75" customHeight="1" x14ac:dyDescent="0.25">
      <c r="A15" s="3">
        <v>273.3</v>
      </c>
    </row>
    <row r="16" spans="1:2" s="1" customFormat="1" ht="9.75" customHeight="1" x14ac:dyDescent="0.25">
      <c r="A16" s="3">
        <v>266.7</v>
      </c>
    </row>
    <row r="17" spans="1:1" s="1" customFormat="1" ht="9.75" customHeight="1" x14ac:dyDescent="0.25">
      <c r="A17" s="3">
        <v>260</v>
      </c>
    </row>
    <row r="18" spans="1:1" s="1" customFormat="1" ht="9.75" customHeight="1" x14ac:dyDescent="0.25">
      <c r="A18" s="3">
        <v>253.3</v>
      </c>
    </row>
    <row r="19" spans="1:1" s="1" customFormat="1" ht="9.75" customHeight="1" x14ac:dyDescent="0.25">
      <c r="A19" s="3">
        <v>246.7</v>
      </c>
    </row>
    <row r="20" spans="1:1" s="71" customFormat="1" ht="9.75" customHeight="1" x14ac:dyDescent="0.2">
      <c r="A20" s="6">
        <v>240</v>
      </c>
    </row>
    <row r="21" spans="1:1" s="71" customFormat="1" ht="9.75" customHeight="1" x14ac:dyDescent="0.2">
      <c r="A21" s="6">
        <v>233.3</v>
      </c>
    </row>
    <row r="22" spans="1:1" s="71" customFormat="1" ht="9.75" customHeight="1" x14ac:dyDescent="0.2">
      <c r="A22" s="6">
        <v>226.7</v>
      </c>
    </row>
    <row r="23" spans="1:1" s="71" customFormat="1" ht="9.75" customHeight="1" x14ac:dyDescent="0.2">
      <c r="A23" s="6">
        <v>220</v>
      </c>
    </row>
    <row r="24" spans="1:1" s="71" customFormat="1" ht="9.75" customHeight="1" x14ac:dyDescent="0.2">
      <c r="A24" s="6">
        <v>213.3</v>
      </c>
    </row>
    <row r="25" spans="1:1" s="71" customFormat="1" ht="9.75" customHeight="1" x14ac:dyDescent="0.2">
      <c r="A25" s="6">
        <v>206.7</v>
      </c>
    </row>
    <row r="26" spans="1:1" s="71" customFormat="1" ht="9.75" customHeight="1" x14ac:dyDescent="0.2">
      <c r="A26" s="6">
        <v>200</v>
      </c>
    </row>
    <row r="27" spans="1:1" s="71" customFormat="1" ht="9.75" customHeight="1" x14ac:dyDescent="0.2">
      <c r="A27" s="6">
        <v>193.3</v>
      </c>
    </row>
    <row r="28" spans="1:1" s="71" customFormat="1" ht="9.75" customHeight="1" x14ac:dyDescent="0.2">
      <c r="A28" s="6">
        <v>186.7</v>
      </c>
    </row>
    <row r="29" spans="1:1" s="71" customFormat="1" ht="9.75" customHeight="1" x14ac:dyDescent="0.2">
      <c r="A29" s="6">
        <v>180</v>
      </c>
    </row>
    <row r="30" spans="1:1" s="71" customFormat="1" ht="9.75" customHeight="1" x14ac:dyDescent="0.2">
      <c r="A30" s="6">
        <v>173.3</v>
      </c>
    </row>
    <row r="31" spans="1:1" s="71" customFormat="1" ht="9.75" customHeight="1" x14ac:dyDescent="0.2">
      <c r="A31" s="6">
        <v>166.7</v>
      </c>
    </row>
    <row r="32" spans="1:1" s="71" customFormat="1" ht="9.75" customHeight="1" x14ac:dyDescent="0.2">
      <c r="A32" s="6">
        <v>160</v>
      </c>
    </row>
    <row r="33" spans="1:1" s="71" customFormat="1" ht="9.75" customHeight="1" x14ac:dyDescent="0.2">
      <c r="A33" s="6">
        <v>153.30000000000001</v>
      </c>
    </row>
    <row r="34" spans="1:1" s="71" customFormat="1" ht="9.75" customHeight="1" x14ac:dyDescent="0.2">
      <c r="A34" s="6">
        <v>146.69999999999999</v>
      </c>
    </row>
    <row r="35" spans="1:1" s="71" customFormat="1" ht="9.75" customHeight="1" x14ac:dyDescent="0.2">
      <c r="A35" s="6">
        <v>140</v>
      </c>
    </row>
    <row r="36" spans="1:1" s="71" customFormat="1" ht="9.75" customHeight="1" x14ac:dyDescent="0.2">
      <c r="A36" s="6">
        <v>133.30000000000001</v>
      </c>
    </row>
    <row r="37" spans="1:1" s="71" customFormat="1" ht="9.75" customHeight="1" x14ac:dyDescent="0.2">
      <c r="A37" s="6">
        <v>126.7</v>
      </c>
    </row>
    <row r="38" spans="1:1" s="71" customFormat="1" ht="9.75" customHeight="1" x14ac:dyDescent="0.2">
      <c r="A38" s="6">
        <v>120</v>
      </c>
    </row>
    <row r="39" spans="1:1" s="71" customFormat="1" ht="9.75" customHeight="1" x14ac:dyDescent="0.2">
      <c r="A39" s="6">
        <v>113.3</v>
      </c>
    </row>
    <row r="40" spans="1:1" s="71" customFormat="1" ht="9.75" customHeight="1" x14ac:dyDescent="0.2">
      <c r="A40" s="6">
        <v>106.7</v>
      </c>
    </row>
    <row r="41" spans="1:1" s="71" customFormat="1" ht="9.75" customHeight="1" x14ac:dyDescent="0.2">
      <c r="A41" s="6">
        <v>100</v>
      </c>
    </row>
    <row r="42" spans="1:1" s="71" customFormat="1" ht="9.75" customHeight="1" x14ac:dyDescent="0.2">
      <c r="A42" s="6">
        <v>93.3</v>
      </c>
    </row>
    <row r="43" spans="1:1" s="71" customFormat="1" ht="9.75" customHeight="1" x14ac:dyDescent="0.2">
      <c r="A43" s="6">
        <v>86.7</v>
      </c>
    </row>
    <row r="44" spans="1:1" s="71" customFormat="1" ht="9.75" customHeight="1" x14ac:dyDescent="0.2">
      <c r="A44" s="6">
        <v>80</v>
      </c>
    </row>
    <row r="45" spans="1:1" s="71" customFormat="1" ht="9.75" customHeight="1" x14ac:dyDescent="0.2">
      <c r="A45" s="6">
        <v>73.3</v>
      </c>
    </row>
    <row r="46" spans="1:1" s="71" customFormat="1" ht="9.75" customHeight="1" x14ac:dyDescent="0.2">
      <c r="A46" s="6">
        <v>66.7</v>
      </c>
    </row>
    <row r="47" spans="1:1" s="71" customFormat="1" ht="9.75" customHeight="1" x14ac:dyDescent="0.2">
      <c r="A47" s="6">
        <v>60</v>
      </c>
    </row>
    <row r="48" spans="1:1" s="71" customFormat="1" ht="9.75" customHeight="1" x14ac:dyDescent="0.2">
      <c r="A48" s="6">
        <v>53.3</v>
      </c>
    </row>
    <row r="49" spans="1:501" s="71" customFormat="1" ht="9.75" customHeight="1" x14ac:dyDescent="0.2">
      <c r="A49" s="6">
        <v>46.7</v>
      </c>
    </row>
    <row r="50" spans="1:501" s="71" customFormat="1" ht="9.75" customHeight="1" x14ac:dyDescent="0.2">
      <c r="A50" s="6">
        <v>40</v>
      </c>
    </row>
    <row r="51" spans="1:501" s="71" customFormat="1" ht="9.75" customHeight="1" x14ac:dyDescent="0.2">
      <c r="A51" s="6">
        <v>33.299999999999997</v>
      </c>
    </row>
    <row r="52" spans="1:501" s="71" customFormat="1" ht="9.75" customHeight="1" x14ac:dyDescent="0.2">
      <c r="A52" s="6">
        <v>26.7</v>
      </c>
    </row>
    <row r="53" spans="1:501" s="71" customFormat="1" ht="9.75" customHeight="1" x14ac:dyDescent="0.2">
      <c r="A53" s="6">
        <v>20</v>
      </c>
    </row>
    <row r="54" spans="1:501" s="71" customFormat="1" ht="9.75" customHeight="1" x14ac:dyDescent="0.2">
      <c r="A54" s="6">
        <v>13.3</v>
      </c>
    </row>
    <row r="55" spans="1:501" s="71" customFormat="1" ht="9.75" customHeight="1" x14ac:dyDescent="0.2">
      <c r="A55" s="6">
        <v>6.7</v>
      </c>
    </row>
    <row r="56" spans="1:501" ht="33.75" customHeight="1" x14ac:dyDescent="0.25">
      <c r="B56" s="4">
        <v>6</v>
      </c>
      <c r="C56" s="4">
        <v>12</v>
      </c>
      <c r="D56" s="4">
        <v>18</v>
      </c>
      <c r="E56" s="4">
        <v>24</v>
      </c>
      <c r="F56" s="4">
        <v>30</v>
      </c>
      <c r="G56" s="4">
        <v>36</v>
      </c>
      <c r="H56" s="4">
        <v>42</v>
      </c>
      <c r="I56" s="4">
        <v>48</v>
      </c>
      <c r="J56" s="4">
        <v>54</v>
      </c>
      <c r="K56" s="4">
        <v>60</v>
      </c>
      <c r="L56" s="4">
        <v>66</v>
      </c>
      <c r="M56" s="4">
        <v>72</v>
      </c>
      <c r="N56" s="4">
        <v>78</v>
      </c>
      <c r="O56" s="4">
        <v>84</v>
      </c>
      <c r="P56" s="4">
        <v>90</v>
      </c>
      <c r="Q56" s="4">
        <v>96</v>
      </c>
      <c r="R56" s="4">
        <v>102</v>
      </c>
      <c r="S56" s="4">
        <v>108</v>
      </c>
      <c r="T56" s="4">
        <v>114</v>
      </c>
      <c r="U56" s="4">
        <v>120</v>
      </c>
      <c r="V56" s="4">
        <v>126</v>
      </c>
      <c r="W56" s="4">
        <v>132</v>
      </c>
      <c r="X56" s="4">
        <v>138</v>
      </c>
      <c r="Y56" s="4">
        <v>144</v>
      </c>
      <c r="Z56" s="4">
        <v>150</v>
      </c>
      <c r="AA56" s="4">
        <v>156</v>
      </c>
      <c r="AB56" s="4">
        <v>162</v>
      </c>
      <c r="AC56" s="4">
        <v>168</v>
      </c>
      <c r="AD56" s="4">
        <v>174</v>
      </c>
      <c r="AE56" s="4">
        <v>180</v>
      </c>
      <c r="AF56" s="4">
        <v>186</v>
      </c>
      <c r="AG56" s="4">
        <v>192</v>
      </c>
      <c r="AH56" s="4">
        <v>198</v>
      </c>
      <c r="AI56" s="4">
        <v>204</v>
      </c>
      <c r="AJ56" s="4">
        <v>210</v>
      </c>
      <c r="AK56" s="4">
        <v>216</v>
      </c>
      <c r="AL56" s="4">
        <v>222</v>
      </c>
      <c r="AM56" s="4">
        <v>228</v>
      </c>
      <c r="AN56" s="4">
        <v>234</v>
      </c>
      <c r="AO56" s="4">
        <v>240</v>
      </c>
      <c r="AP56" s="4">
        <v>246</v>
      </c>
      <c r="AQ56" s="4">
        <v>252</v>
      </c>
      <c r="AR56" s="4">
        <v>258</v>
      </c>
      <c r="AS56" s="4">
        <v>264</v>
      </c>
      <c r="AT56" s="4">
        <v>270</v>
      </c>
      <c r="AU56" s="4">
        <v>276</v>
      </c>
      <c r="AV56" s="4">
        <v>282</v>
      </c>
      <c r="AW56" s="4">
        <v>288</v>
      </c>
      <c r="AX56" s="4">
        <v>294</v>
      </c>
      <c r="AY56" s="4">
        <v>300</v>
      </c>
      <c r="AZ56" s="4">
        <v>306</v>
      </c>
      <c r="BA56" s="4">
        <v>312</v>
      </c>
      <c r="BB56" s="4">
        <v>318</v>
      </c>
      <c r="BC56" s="4">
        <v>324</v>
      </c>
      <c r="BD56" s="4">
        <v>330</v>
      </c>
      <c r="BE56" s="4">
        <v>336</v>
      </c>
      <c r="BF56" s="4">
        <v>342</v>
      </c>
      <c r="BG56" s="4">
        <v>348</v>
      </c>
      <c r="BH56" s="4">
        <v>354</v>
      </c>
      <c r="BI56" s="4">
        <v>360</v>
      </c>
      <c r="BJ56" s="4">
        <v>366</v>
      </c>
      <c r="BK56" s="4">
        <v>372</v>
      </c>
      <c r="BL56" s="4">
        <v>378</v>
      </c>
      <c r="BM56" s="4">
        <v>384</v>
      </c>
      <c r="BN56" s="4">
        <v>390</v>
      </c>
      <c r="BO56" s="4">
        <v>396</v>
      </c>
      <c r="BP56" s="4">
        <v>402</v>
      </c>
      <c r="BQ56" s="4">
        <v>408</v>
      </c>
      <c r="BR56" s="4">
        <v>414</v>
      </c>
      <c r="BS56" s="4">
        <v>420</v>
      </c>
      <c r="BT56" s="4">
        <v>426</v>
      </c>
      <c r="BU56" s="4">
        <v>432</v>
      </c>
      <c r="BV56" s="4">
        <v>438</v>
      </c>
      <c r="BW56" s="4">
        <v>444</v>
      </c>
      <c r="BX56" s="4">
        <v>450</v>
      </c>
      <c r="BY56" s="4">
        <v>456</v>
      </c>
      <c r="BZ56" s="4">
        <v>462</v>
      </c>
      <c r="CA56" s="4">
        <v>468</v>
      </c>
      <c r="CB56" s="4">
        <v>474</v>
      </c>
      <c r="CC56" s="4">
        <v>480</v>
      </c>
      <c r="CD56" s="4">
        <v>486</v>
      </c>
      <c r="CE56" s="4">
        <v>492</v>
      </c>
      <c r="CF56" s="4">
        <v>498</v>
      </c>
      <c r="CG56" s="4">
        <v>504</v>
      </c>
      <c r="CH56" s="4">
        <v>510</v>
      </c>
      <c r="CI56" s="4">
        <v>516</v>
      </c>
      <c r="CJ56" s="4">
        <v>522</v>
      </c>
      <c r="CK56" s="4">
        <v>528</v>
      </c>
      <c r="CL56" s="4">
        <v>534</v>
      </c>
      <c r="CM56" s="4">
        <v>540</v>
      </c>
      <c r="CN56" s="4">
        <v>546</v>
      </c>
      <c r="CO56" s="4">
        <v>552</v>
      </c>
      <c r="CP56" s="4">
        <v>558</v>
      </c>
      <c r="CQ56" s="4">
        <v>564</v>
      </c>
      <c r="CR56" s="4">
        <v>570</v>
      </c>
      <c r="CS56" s="4">
        <v>576</v>
      </c>
      <c r="CT56" s="4">
        <v>582</v>
      </c>
      <c r="CU56" s="4">
        <v>588</v>
      </c>
      <c r="CV56" s="4">
        <v>594</v>
      </c>
      <c r="CW56" s="4">
        <v>600</v>
      </c>
      <c r="CX56" s="4">
        <v>606</v>
      </c>
      <c r="CY56" s="4">
        <v>612</v>
      </c>
      <c r="CZ56" s="4">
        <v>618</v>
      </c>
      <c r="DA56" s="4">
        <v>624</v>
      </c>
      <c r="DB56" s="4">
        <v>630</v>
      </c>
      <c r="DC56" s="4">
        <v>636</v>
      </c>
      <c r="DD56" s="4">
        <v>642</v>
      </c>
      <c r="DE56" s="4">
        <v>648</v>
      </c>
      <c r="DF56" s="4">
        <v>654</v>
      </c>
      <c r="DG56" s="4">
        <v>660</v>
      </c>
      <c r="DH56" s="4">
        <v>666</v>
      </c>
      <c r="DI56" s="4">
        <v>672</v>
      </c>
      <c r="DJ56" s="4">
        <v>678</v>
      </c>
      <c r="DK56" s="4">
        <v>684</v>
      </c>
      <c r="DL56" s="4">
        <v>690</v>
      </c>
      <c r="DM56" s="4">
        <v>696</v>
      </c>
      <c r="DN56" s="4">
        <v>702</v>
      </c>
      <c r="DO56" s="4">
        <v>708</v>
      </c>
      <c r="DP56" s="4">
        <v>714</v>
      </c>
      <c r="DQ56" s="4">
        <v>720</v>
      </c>
      <c r="DR56" s="4">
        <v>726</v>
      </c>
      <c r="DS56" s="4">
        <v>732</v>
      </c>
      <c r="DT56" s="4">
        <v>738</v>
      </c>
      <c r="DU56" s="4">
        <v>744</v>
      </c>
      <c r="DV56" s="4">
        <v>750</v>
      </c>
      <c r="DW56" s="4">
        <v>756</v>
      </c>
      <c r="DX56" s="4">
        <v>762</v>
      </c>
      <c r="DY56" s="4">
        <v>768</v>
      </c>
      <c r="DZ56" s="4">
        <v>774</v>
      </c>
      <c r="EA56" s="4">
        <v>780</v>
      </c>
      <c r="EB56" s="4">
        <v>786</v>
      </c>
      <c r="EC56" s="4">
        <v>792</v>
      </c>
      <c r="ED56" s="4">
        <v>798</v>
      </c>
      <c r="EE56" s="4">
        <v>804</v>
      </c>
      <c r="EF56" s="4">
        <v>810</v>
      </c>
      <c r="EG56" s="4">
        <v>816</v>
      </c>
      <c r="EH56" s="4">
        <v>822</v>
      </c>
      <c r="EI56" s="4">
        <v>828</v>
      </c>
      <c r="EJ56" s="4">
        <v>834</v>
      </c>
      <c r="EK56" s="4">
        <v>840</v>
      </c>
      <c r="EL56" s="4">
        <v>846</v>
      </c>
      <c r="EM56" s="4">
        <v>852</v>
      </c>
      <c r="EN56" s="4">
        <v>858</v>
      </c>
      <c r="EO56" s="4">
        <v>864</v>
      </c>
      <c r="EP56" s="4">
        <v>870</v>
      </c>
      <c r="EQ56" s="4">
        <v>876</v>
      </c>
      <c r="ER56" s="4">
        <v>882</v>
      </c>
      <c r="ES56" s="4">
        <v>888</v>
      </c>
      <c r="ET56" s="4">
        <v>894</v>
      </c>
      <c r="EU56" s="4">
        <v>900</v>
      </c>
      <c r="EV56" s="4">
        <v>906</v>
      </c>
      <c r="EW56" s="4">
        <v>912</v>
      </c>
      <c r="EX56" s="4">
        <v>918</v>
      </c>
      <c r="EY56" s="4">
        <v>924</v>
      </c>
      <c r="EZ56" s="4">
        <v>930</v>
      </c>
      <c r="FA56" s="4">
        <v>936</v>
      </c>
      <c r="FB56" s="4">
        <v>942</v>
      </c>
      <c r="FC56" s="4">
        <v>948</v>
      </c>
      <c r="FD56" s="4">
        <v>954</v>
      </c>
      <c r="FE56" s="4">
        <v>960</v>
      </c>
      <c r="FF56" s="4">
        <v>966</v>
      </c>
      <c r="FG56" s="4">
        <v>972</v>
      </c>
      <c r="FH56" s="4">
        <v>978</v>
      </c>
      <c r="FI56" s="4">
        <v>984</v>
      </c>
      <c r="FJ56" s="4">
        <v>990</v>
      </c>
      <c r="FK56" s="4">
        <v>996</v>
      </c>
      <c r="FL56" s="4">
        <v>1002</v>
      </c>
      <c r="FM56" s="4">
        <v>1008</v>
      </c>
      <c r="FN56" s="4">
        <v>1014</v>
      </c>
      <c r="FO56" s="4">
        <v>1020</v>
      </c>
      <c r="FP56" s="4">
        <v>1026</v>
      </c>
      <c r="FQ56" s="4">
        <v>1032</v>
      </c>
      <c r="FR56" s="4">
        <v>1038</v>
      </c>
      <c r="FS56" s="4">
        <v>1044</v>
      </c>
      <c r="FT56" s="4">
        <v>1050</v>
      </c>
      <c r="FU56" s="4">
        <v>1056</v>
      </c>
      <c r="FV56" s="4">
        <v>1062</v>
      </c>
      <c r="FW56" s="4">
        <v>1068</v>
      </c>
      <c r="FX56" s="4">
        <v>1074</v>
      </c>
      <c r="FY56" s="4">
        <v>1080</v>
      </c>
      <c r="FZ56" s="4">
        <v>1086</v>
      </c>
      <c r="GA56" s="4">
        <v>1092</v>
      </c>
      <c r="GB56" s="4">
        <v>1098</v>
      </c>
      <c r="GC56" s="4">
        <v>1104</v>
      </c>
      <c r="GD56" s="4">
        <v>1110</v>
      </c>
      <c r="GE56" s="4">
        <v>1116</v>
      </c>
      <c r="GF56" s="4">
        <v>1122</v>
      </c>
      <c r="GG56" s="4">
        <v>1128</v>
      </c>
      <c r="GH56" s="4">
        <v>1134</v>
      </c>
      <c r="GI56" s="4">
        <v>1140</v>
      </c>
      <c r="GJ56" s="4">
        <v>1146</v>
      </c>
      <c r="GK56" s="4">
        <v>1152</v>
      </c>
      <c r="GL56" s="4">
        <v>1158</v>
      </c>
      <c r="GM56" s="4">
        <v>1164</v>
      </c>
      <c r="GN56" s="4">
        <v>1170</v>
      </c>
      <c r="GO56" s="4">
        <v>1176</v>
      </c>
      <c r="GP56" s="4">
        <v>1182</v>
      </c>
      <c r="GQ56" s="4">
        <v>1188</v>
      </c>
      <c r="GR56" s="4">
        <v>1194</v>
      </c>
      <c r="GS56" s="4">
        <v>1200</v>
      </c>
      <c r="GT56" s="4">
        <v>1206</v>
      </c>
      <c r="GU56" s="4">
        <v>1212</v>
      </c>
      <c r="GV56" s="4">
        <v>1218</v>
      </c>
      <c r="GW56" s="4">
        <v>1224</v>
      </c>
      <c r="GX56" s="4">
        <v>1230</v>
      </c>
      <c r="GY56" s="4">
        <v>1236</v>
      </c>
      <c r="GZ56" s="4">
        <v>1242</v>
      </c>
      <c r="HA56" s="4">
        <v>1248</v>
      </c>
      <c r="HB56" s="4">
        <v>1254</v>
      </c>
      <c r="HC56" s="4">
        <v>1260</v>
      </c>
      <c r="HD56" s="4">
        <v>1266</v>
      </c>
      <c r="HE56" s="4">
        <v>1272</v>
      </c>
      <c r="HF56" s="4">
        <v>1278</v>
      </c>
      <c r="HG56" s="4">
        <v>1284</v>
      </c>
      <c r="HH56" s="4">
        <v>1290</v>
      </c>
      <c r="HI56" s="4">
        <v>1296</v>
      </c>
      <c r="HJ56" s="4">
        <v>1302</v>
      </c>
      <c r="HK56" s="4">
        <v>1308</v>
      </c>
      <c r="HL56" s="4">
        <v>1314</v>
      </c>
      <c r="HM56" s="4">
        <v>1320</v>
      </c>
      <c r="HN56" s="4">
        <v>1326</v>
      </c>
      <c r="HO56" s="4">
        <v>1332</v>
      </c>
      <c r="HP56" s="4">
        <v>1338</v>
      </c>
      <c r="HQ56" s="4">
        <v>1344</v>
      </c>
      <c r="HR56" s="4">
        <v>1350</v>
      </c>
      <c r="HS56" s="4">
        <v>1356</v>
      </c>
      <c r="HT56" s="4">
        <v>1362</v>
      </c>
      <c r="HU56" s="4">
        <v>1368</v>
      </c>
      <c r="HV56" s="4">
        <v>1374</v>
      </c>
      <c r="HW56" s="4">
        <v>1380</v>
      </c>
      <c r="HX56" s="4">
        <v>1386</v>
      </c>
      <c r="HY56" s="4">
        <v>1392</v>
      </c>
      <c r="HZ56" s="4">
        <v>1398</v>
      </c>
      <c r="IA56" s="4">
        <v>1404</v>
      </c>
      <c r="IB56" s="4">
        <v>1410</v>
      </c>
      <c r="IC56" s="4">
        <v>1416</v>
      </c>
      <c r="ID56" s="4">
        <v>1422</v>
      </c>
      <c r="IE56" s="4">
        <v>1428</v>
      </c>
      <c r="IF56" s="4">
        <v>1434</v>
      </c>
      <c r="IG56" s="4">
        <v>1440</v>
      </c>
      <c r="IH56" s="4">
        <v>1446</v>
      </c>
      <c r="II56" s="4">
        <v>1452</v>
      </c>
      <c r="IJ56" s="4">
        <v>1458</v>
      </c>
      <c r="IK56" s="4">
        <v>1464</v>
      </c>
      <c r="IL56" s="4">
        <v>1470</v>
      </c>
      <c r="IM56" s="4">
        <v>1476</v>
      </c>
      <c r="IN56" s="4">
        <v>1482</v>
      </c>
      <c r="IO56" s="4">
        <v>1488</v>
      </c>
      <c r="IP56" s="4">
        <v>1494</v>
      </c>
      <c r="IQ56" s="4">
        <v>1500</v>
      </c>
      <c r="IR56" s="4">
        <v>1506</v>
      </c>
      <c r="IS56" s="4">
        <v>1512</v>
      </c>
      <c r="IT56" s="4">
        <v>1518</v>
      </c>
      <c r="IU56" s="4">
        <v>1524</v>
      </c>
      <c r="IV56" s="4">
        <v>1530</v>
      </c>
      <c r="IW56" s="4">
        <v>1536</v>
      </c>
      <c r="IX56" s="4">
        <v>1542</v>
      </c>
      <c r="IY56" s="4">
        <v>1548</v>
      </c>
      <c r="IZ56" s="4">
        <v>1554</v>
      </c>
      <c r="JA56" s="4">
        <v>1560</v>
      </c>
      <c r="JB56" s="4">
        <v>1566</v>
      </c>
      <c r="JC56" s="4">
        <v>1572</v>
      </c>
      <c r="JD56" s="4">
        <v>1578</v>
      </c>
      <c r="JE56" s="4">
        <v>1584</v>
      </c>
      <c r="JF56" s="4">
        <v>1590</v>
      </c>
      <c r="JG56" s="4">
        <v>1596</v>
      </c>
      <c r="JH56" s="4">
        <v>1602</v>
      </c>
      <c r="JI56" s="4">
        <v>1608</v>
      </c>
      <c r="JJ56" s="4">
        <v>1614</v>
      </c>
      <c r="JK56" s="4">
        <v>1620</v>
      </c>
      <c r="JL56" s="4">
        <v>1626</v>
      </c>
      <c r="JM56" s="4">
        <v>1632</v>
      </c>
      <c r="JN56" s="4">
        <v>1638</v>
      </c>
      <c r="JO56" s="4">
        <v>1644</v>
      </c>
      <c r="JP56" s="4">
        <v>1650</v>
      </c>
      <c r="JQ56" s="4">
        <v>1656</v>
      </c>
      <c r="JR56" s="4">
        <v>1662</v>
      </c>
      <c r="JS56" s="4">
        <v>1668</v>
      </c>
      <c r="JT56" s="4">
        <v>1674</v>
      </c>
      <c r="JU56" s="4">
        <v>1680</v>
      </c>
      <c r="JV56" s="4">
        <v>1686</v>
      </c>
      <c r="JW56" s="4">
        <v>1692</v>
      </c>
      <c r="JX56" s="4">
        <v>1698</v>
      </c>
      <c r="JY56" s="4">
        <v>1704</v>
      </c>
      <c r="JZ56" s="4">
        <v>1710</v>
      </c>
      <c r="KA56" s="4">
        <v>1716</v>
      </c>
      <c r="KB56" s="4">
        <v>1722</v>
      </c>
      <c r="KC56" s="4">
        <v>1728</v>
      </c>
      <c r="KD56" s="4">
        <v>1734</v>
      </c>
      <c r="KE56" s="4">
        <v>1740</v>
      </c>
      <c r="KF56" s="4">
        <v>1746</v>
      </c>
      <c r="KG56" s="4">
        <v>1752</v>
      </c>
      <c r="KH56" s="4">
        <v>1758</v>
      </c>
      <c r="KI56" s="4">
        <v>1764</v>
      </c>
      <c r="KJ56" s="4">
        <v>1770</v>
      </c>
      <c r="KK56" s="4">
        <v>1776</v>
      </c>
      <c r="KL56" s="4">
        <v>1782</v>
      </c>
      <c r="KM56" s="4">
        <v>1788</v>
      </c>
      <c r="KN56" s="4">
        <v>1794</v>
      </c>
      <c r="KO56" s="4">
        <v>1800</v>
      </c>
      <c r="KP56" s="4">
        <v>1806</v>
      </c>
      <c r="KQ56" s="4">
        <v>1812</v>
      </c>
      <c r="KR56" s="4">
        <v>1818</v>
      </c>
      <c r="KS56" s="4">
        <v>1824</v>
      </c>
      <c r="KT56" s="4">
        <v>1830</v>
      </c>
      <c r="KU56" s="4">
        <v>1836</v>
      </c>
      <c r="KV56" s="4">
        <v>1842</v>
      </c>
      <c r="KW56" s="4">
        <v>1848</v>
      </c>
      <c r="KX56" s="4">
        <v>1854</v>
      </c>
      <c r="KY56" s="4">
        <v>1860</v>
      </c>
      <c r="KZ56" s="4">
        <v>1866</v>
      </c>
      <c r="LA56" s="4">
        <v>1872</v>
      </c>
      <c r="LB56" s="4">
        <v>1878</v>
      </c>
      <c r="LC56" s="4">
        <v>1884</v>
      </c>
      <c r="LD56" s="4">
        <v>1890</v>
      </c>
      <c r="LE56" s="4">
        <v>1896</v>
      </c>
      <c r="LF56" s="4">
        <v>1902</v>
      </c>
      <c r="LG56" s="4">
        <v>1908</v>
      </c>
      <c r="LH56" s="4">
        <v>1914</v>
      </c>
      <c r="LI56" s="4">
        <v>1920</v>
      </c>
      <c r="LJ56" s="4">
        <v>1926</v>
      </c>
      <c r="LK56" s="4">
        <v>1932</v>
      </c>
      <c r="LL56" s="4">
        <v>1938</v>
      </c>
      <c r="LM56" s="4">
        <v>1944</v>
      </c>
      <c r="LN56" s="4">
        <v>1950</v>
      </c>
      <c r="LO56" s="4">
        <v>1956</v>
      </c>
      <c r="LP56" s="4">
        <v>1962</v>
      </c>
      <c r="LQ56" s="4">
        <v>1968</v>
      </c>
      <c r="LR56" s="4">
        <v>1974</v>
      </c>
      <c r="LS56" s="4">
        <v>1980</v>
      </c>
      <c r="LT56" s="4">
        <v>1986</v>
      </c>
      <c r="LU56" s="4">
        <v>1992</v>
      </c>
      <c r="LV56" s="4">
        <v>1998</v>
      </c>
      <c r="LW56" s="4">
        <v>2004</v>
      </c>
      <c r="LX56" s="4">
        <v>2010</v>
      </c>
      <c r="LY56" s="4">
        <v>2016</v>
      </c>
      <c r="LZ56" s="4">
        <v>2022</v>
      </c>
      <c r="MA56" s="4">
        <v>2028</v>
      </c>
      <c r="MB56" s="4">
        <v>2034</v>
      </c>
      <c r="MC56" s="4">
        <v>2040</v>
      </c>
      <c r="MD56" s="4">
        <v>2046</v>
      </c>
      <c r="ME56" s="4">
        <v>2052</v>
      </c>
      <c r="MF56" s="4">
        <v>2058</v>
      </c>
      <c r="MG56" s="4">
        <v>2064</v>
      </c>
      <c r="MH56" s="4">
        <v>2070</v>
      </c>
      <c r="MI56" s="4">
        <v>2076</v>
      </c>
      <c r="MJ56" s="4">
        <v>2082</v>
      </c>
      <c r="MK56" s="4">
        <v>2088</v>
      </c>
      <c r="ML56" s="4">
        <v>2094</v>
      </c>
      <c r="MM56" s="4">
        <v>2100</v>
      </c>
      <c r="MN56" s="4">
        <v>2106</v>
      </c>
      <c r="MO56" s="4">
        <v>2112</v>
      </c>
      <c r="MP56" s="4">
        <v>2118</v>
      </c>
      <c r="MQ56" s="4">
        <v>2124</v>
      </c>
      <c r="MR56" s="4">
        <v>2130</v>
      </c>
      <c r="MS56" s="4">
        <v>2136</v>
      </c>
      <c r="MT56" s="4">
        <v>2142</v>
      </c>
      <c r="MU56" s="4">
        <v>2148</v>
      </c>
      <c r="MV56" s="4">
        <v>2154</v>
      </c>
      <c r="MW56" s="4">
        <v>2160</v>
      </c>
      <c r="MX56" s="4">
        <v>2166</v>
      </c>
      <c r="MY56" s="4">
        <v>2172</v>
      </c>
      <c r="MZ56" s="4">
        <v>2178</v>
      </c>
      <c r="NA56" s="4">
        <v>2184</v>
      </c>
      <c r="NB56" s="4">
        <v>2190</v>
      </c>
      <c r="NC56" s="4">
        <v>2196</v>
      </c>
      <c r="ND56" s="4">
        <v>2202</v>
      </c>
      <c r="NE56" s="4">
        <v>2208</v>
      </c>
      <c r="NF56" s="4">
        <v>2214</v>
      </c>
      <c r="NG56" s="4">
        <v>2220</v>
      </c>
      <c r="NH56" s="4">
        <v>2226</v>
      </c>
      <c r="NI56" s="4">
        <v>2232</v>
      </c>
      <c r="NJ56" s="4">
        <v>2238</v>
      </c>
      <c r="NK56" s="4">
        <v>2244</v>
      </c>
      <c r="NL56" s="4">
        <v>2250</v>
      </c>
      <c r="NM56" s="4">
        <v>2256</v>
      </c>
      <c r="NN56" s="4">
        <v>2262</v>
      </c>
      <c r="NO56" s="4">
        <v>2268</v>
      </c>
      <c r="NP56" s="4">
        <v>2274</v>
      </c>
      <c r="NQ56" s="4">
        <v>2280</v>
      </c>
      <c r="NR56" s="4">
        <v>2286</v>
      </c>
      <c r="NS56" s="4">
        <v>2292</v>
      </c>
      <c r="NT56" s="4">
        <v>2298</v>
      </c>
      <c r="NU56" s="4">
        <v>2304</v>
      </c>
      <c r="NV56" s="4">
        <v>2310</v>
      </c>
      <c r="NW56" s="4">
        <v>2316</v>
      </c>
      <c r="NX56" s="4">
        <v>2322</v>
      </c>
      <c r="NY56" s="4">
        <v>2328</v>
      </c>
      <c r="NZ56" s="4">
        <v>2334</v>
      </c>
      <c r="OA56" s="4">
        <v>2340</v>
      </c>
      <c r="OB56" s="4">
        <v>2346</v>
      </c>
      <c r="OC56" s="4">
        <v>2352</v>
      </c>
      <c r="OD56" s="4">
        <v>2358</v>
      </c>
      <c r="OE56" s="4">
        <v>2364</v>
      </c>
      <c r="OF56" s="4">
        <v>2370</v>
      </c>
      <c r="OG56" s="4">
        <v>2376</v>
      </c>
      <c r="OH56" s="4">
        <v>2382</v>
      </c>
      <c r="OI56" s="4">
        <v>2388</v>
      </c>
      <c r="OJ56" s="4">
        <v>2394</v>
      </c>
      <c r="OK56" s="4">
        <v>2400</v>
      </c>
      <c r="OL56" s="4">
        <v>2406</v>
      </c>
      <c r="OM56" s="4">
        <v>2412</v>
      </c>
      <c r="ON56" s="4">
        <v>2418</v>
      </c>
      <c r="OO56" s="4">
        <v>2424</v>
      </c>
      <c r="OP56" s="4">
        <v>2430</v>
      </c>
      <c r="OQ56" s="4">
        <v>2436</v>
      </c>
      <c r="OR56" s="4">
        <v>2442</v>
      </c>
      <c r="OS56" s="4">
        <v>2448</v>
      </c>
      <c r="OT56" s="4">
        <v>2454</v>
      </c>
      <c r="OU56" s="4">
        <v>2460</v>
      </c>
      <c r="OV56" s="4">
        <v>2466</v>
      </c>
      <c r="OW56" s="4">
        <v>2472</v>
      </c>
      <c r="OX56" s="4">
        <v>2478</v>
      </c>
      <c r="OY56" s="4">
        <v>2484</v>
      </c>
      <c r="OZ56" s="4">
        <v>2490</v>
      </c>
      <c r="PA56" s="4">
        <v>2496</v>
      </c>
      <c r="PB56" s="4">
        <v>2502</v>
      </c>
      <c r="PC56" s="4">
        <v>2508</v>
      </c>
      <c r="PD56" s="4">
        <v>2514</v>
      </c>
      <c r="PE56" s="4">
        <v>2520</v>
      </c>
      <c r="PF56" s="4">
        <v>2526</v>
      </c>
      <c r="PG56" s="4">
        <v>2532</v>
      </c>
      <c r="PH56" s="4">
        <v>2538</v>
      </c>
      <c r="PI56" s="4">
        <v>2544</v>
      </c>
      <c r="PJ56" s="4">
        <v>2550</v>
      </c>
      <c r="PK56" s="4">
        <v>2556</v>
      </c>
      <c r="PL56" s="4">
        <v>2562</v>
      </c>
      <c r="PM56" s="4">
        <v>2568</v>
      </c>
      <c r="PN56" s="4">
        <v>2574</v>
      </c>
      <c r="PO56" s="4">
        <v>2580</v>
      </c>
      <c r="PP56" s="4">
        <v>2586</v>
      </c>
      <c r="PQ56" s="4">
        <v>2592</v>
      </c>
      <c r="PR56" s="4">
        <v>2598</v>
      </c>
      <c r="PS56" s="4">
        <v>2604</v>
      </c>
      <c r="PT56" s="4">
        <v>2610</v>
      </c>
      <c r="PU56" s="4">
        <v>2616</v>
      </c>
      <c r="PV56" s="4">
        <v>2622</v>
      </c>
      <c r="PW56" s="4">
        <v>2628</v>
      </c>
      <c r="PX56" s="4">
        <v>2634</v>
      </c>
      <c r="PY56" s="4">
        <v>2640</v>
      </c>
      <c r="PZ56" s="4">
        <v>2646</v>
      </c>
      <c r="QA56" s="4">
        <v>2652</v>
      </c>
      <c r="QB56" s="4">
        <v>2658</v>
      </c>
      <c r="QC56" s="4">
        <v>2664</v>
      </c>
      <c r="QD56" s="4">
        <v>2670</v>
      </c>
      <c r="QE56" s="4">
        <v>2676</v>
      </c>
      <c r="QF56" s="4">
        <v>2682</v>
      </c>
      <c r="QG56" s="4">
        <v>2688</v>
      </c>
      <c r="QH56" s="4">
        <v>2694</v>
      </c>
      <c r="QI56" s="4">
        <v>2700</v>
      </c>
      <c r="QJ56" s="4">
        <v>2706</v>
      </c>
      <c r="QK56" s="4">
        <v>2712</v>
      </c>
      <c r="QL56" s="4">
        <v>2718</v>
      </c>
      <c r="QM56" s="4">
        <v>2724</v>
      </c>
      <c r="QN56" s="4">
        <v>2730</v>
      </c>
      <c r="QO56" s="4">
        <v>2736</v>
      </c>
      <c r="QP56" s="4">
        <v>2742</v>
      </c>
      <c r="QQ56" s="4">
        <v>2748</v>
      </c>
      <c r="QR56" s="4">
        <v>2754</v>
      </c>
      <c r="QS56" s="4">
        <v>2760</v>
      </c>
      <c r="QT56" s="4">
        <v>2766</v>
      </c>
      <c r="QU56" s="4">
        <v>2772</v>
      </c>
      <c r="QV56" s="4">
        <v>2778</v>
      </c>
      <c r="QW56" s="4">
        <v>2784</v>
      </c>
      <c r="QX56" s="4">
        <v>2790</v>
      </c>
      <c r="QY56" s="4">
        <v>2796</v>
      </c>
      <c r="QZ56" s="4">
        <v>2802</v>
      </c>
      <c r="RA56" s="4">
        <v>2808</v>
      </c>
      <c r="RB56" s="4">
        <v>2814</v>
      </c>
      <c r="RC56" s="4">
        <v>2820</v>
      </c>
      <c r="RD56" s="4">
        <v>2826</v>
      </c>
      <c r="RE56" s="4">
        <v>2832</v>
      </c>
      <c r="RF56" s="4">
        <v>2838</v>
      </c>
      <c r="RG56" s="4">
        <v>2844</v>
      </c>
      <c r="RH56" s="4">
        <v>2850</v>
      </c>
      <c r="RI56" s="4">
        <v>2856</v>
      </c>
      <c r="RJ56" s="4">
        <v>2862</v>
      </c>
      <c r="RK56" s="4">
        <v>2868</v>
      </c>
      <c r="RL56" s="4">
        <v>2874</v>
      </c>
      <c r="RM56" s="4">
        <v>2880</v>
      </c>
      <c r="RN56" s="4">
        <v>2886</v>
      </c>
      <c r="RO56" s="4">
        <v>2892</v>
      </c>
      <c r="RP56" s="4">
        <v>2898</v>
      </c>
      <c r="RQ56" s="4">
        <v>2904</v>
      </c>
      <c r="RR56" s="4">
        <v>2910</v>
      </c>
      <c r="RS56" s="4">
        <v>2916</v>
      </c>
      <c r="RT56" s="4">
        <v>2922</v>
      </c>
      <c r="RU56" s="4">
        <v>2928</v>
      </c>
      <c r="RV56" s="4">
        <v>2934</v>
      </c>
      <c r="RW56" s="4">
        <v>2940</v>
      </c>
      <c r="RX56" s="4">
        <v>2946</v>
      </c>
      <c r="RY56" s="4">
        <v>2952</v>
      </c>
      <c r="RZ56" s="4">
        <v>2958</v>
      </c>
      <c r="SA56" s="4">
        <v>2964</v>
      </c>
      <c r="SB56" s="4">
        <v>2970</v>
      </c>
      <c r="SC56" s="4">
        <v>2976</v>
      </c>
      <c r="SD56" s="4">
        <v>2982</v>
      </c>
      <c r="SE56" s="4">
        <v>2988</v>
      </c>
      <c r="SF56" s="4">
        <v>2994</v>
      </c>
      <c r="SG56" s="4">
        <v>3000</v>
      </c>
    </row>
    <row r="57" spans="1:501" ht="11.25" customHeight="1" x14ac:dyDescent="0.25">
      <c r="A57" s="15"/>
      <c r="B57" s="16"/>
      <c r="C57" s="16"/>
      <c r="D57" s="17"/>
      <c r="E57" s="17"/>
      <c r="F57" s="17"/>
      <c r="G57" s="17"/>
      <c r="H57" s="17"/>
      <c r="I57" s="16"/>
      <c r="J57" s="18"/>
    </row>
    <row r="58" spans="1:501" ht="11.25" customHeight="1" x14ac:dyDescent="0.25">
      <c r="A58" s="19"/>
      <c r="B58" s="14"/>
      <c r="C58" s="14"/>
      <c r="D58" s="14"/>
      <c r="E58" s="14"/>
      <c r="F58" s="14"/>
      <c r="G58" s="14"/>
      <c r="H58" s="14"/>
      <c r="I58" s="14"/>
      <c r="J58" s="20"/>
    </row>
    <row r="59" spans="1:501" ht="11.25" customHeight="1" x14ac:dyDescent="0.25">
      <c r="A59" s="19"/>
      <c r="B59" s="14"/>
      <c r="C59" s="14"/>
      <c r="D59" s="14"/>
      <c r="E59" s="14"/>
      <c r="F59" s="14"/>
      <c r="G59" s="14"/>
      <c r="H59" s="14"/>
      <c r="I59" s="14"/>
      <c r="J59" s="20"/>
    </row>
    <row r="60" spans="1:501" ht="11.25" customHeight="1" x14ac:dyDescent="0.25">
      <c r="A60" s="19"/>
      <c r="B60" s="14"/>
      <c r="C60" s="14"/>
      <c r="D60" s="14"/>
      <c r="E60" s="14"/>
      <c r="F60" s="14"/>
      <c r="G60" s="14"/>
      <c r="H60" s="14"/>
      <c r="I60" s="14"/>
      <c r="J60" s="20"/>
    </row>
    <row r="61" spans="1:501" ht="11.25" customHeight="1" x14ac:dyDescent="0.25">
      <c r="A61" s="19"/>
      <c r="B61" s="14"/>
      <c r="C61" s="14"/>
      <c r="D61" s="14"/>
      <c r="E61" s="14"/>
      <c r="F61" s="14"/>
      <c r="G61" s="14"/>
      <c r="H61" s="14"/>
      <c r="I61" s="14"/>
      <c r="J61" s="20"/>
    </row>
    <row r="62" spans="1:501" ht="11.25" customHeight="1" x14ac:dyDescent="0.25">
      <c r="A62" s="19"/>
      <c r="B62" s="14"/>
      <c r="C62" s="14"/>
      <c r="D62" s="14"/>
      <c r="E62" s="14"/>
      <c r="F62" s="14"/>
      <c r="G62" s="14"/>
      <c r="H62" s="14"/>
      <c r="I62" s="14"/>
      <c r="J62" s="20"/>
    </row>
    <row r="63" spans="1:501" ht="11.25" customHeight="1" x14ac:dyDescent="0.25">
      <c r="A63" s="19"/>
      <c r="B63" s="14"/>
      <c r="C63" s="14"/>
      <c r="D63" s="14"/>
      <c r="E63" s="14"/>
      <c r="F63" s="14"/>
      <c r="G63" s="14"/>
      <c r="H63" s="14"/>
      <c r="I63" s="14"/>
      <c r="J63" s="20"/>
    </row>
    <row r="64" spans="1:501" ht="11.25" customHeight="1" x14ac:dyDescent="0.25">
      <c r="A64" s="21"/>
      <c r="B64" s="22"/>
      <c r="C64" s="22"/>
      <c r="D64" s="22"/>
      <c r="E64" s="22"/>
      <c r="F64" s="22"/>
      <c r="G64" s="22"/>
      <c r="H64" s="22"/>
      <c r="I64" s="22"/>
      <c r="J64" s="23"/>
    </row>
    <row r="65" spans="1:1" ht="9.75" customHeight="1" x14ac:dyDescent="0.25">
      <c r="A65" s="70" t="s">
        <v>73</v>
      </c>
    </row>
  </sheetData>
  <pageMargins left="0.23622047244094491" right="0.23622047244094491" top="1.5354330708661419" bottom="0.55118110236220474" header="0.31496062992125984" footer="0.31496062992125984"/>
  <pageSetup paperSize="8" orientation="landscape" r:id="rId1"/>
  <headerFooter>
    <oddHeader>&amp;L&amp;G&amp;REgernsund Tegl - &amp;A</oddHeader>
    <oddFooter>&amp;R&amp;D
&amp;P ud af &amp;N</oddFooter>
  </headerFooter>
  <colBreaks count="1" manualBreakCount="1">
    <brk id="102" max="55"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01" r:id="rId5" name="Button 5">
              <controlPr defaultSize="0" print="0" autoFill="0" autoPict="0" macro="[0]!indtast_vindue">
                <anchor moveWithCells="1" sizeWithCells="1">
                  <from>
                    <xdr:col>0</xdr:col>
                    <xdr:colOff>57150</xdr:colOff>
                    <xdr:row>56</xdr:row>
                    <xdr:rowOff>57150</xdr:rowOff>
                  </from>
                  <to>
                    <xdr:col>9</xdr:col>
                    <xdr:colOff>9525</xdr:colOff>
                    <xdr:row>58</xdr:row>
                    <xdr:rowOff>76200</xdr:rowOff>
                  </to>
                </anchor>
              </controlPr>
            </control>
          </mc:Choice>
        </mc:AlternateContent>
        <mc:AlternateContent xmlns:mc="http://schemas.openxmlformats.org/markup-compatibility/2006">
          <mc:Choice Requires="x14">
            <control shapeId="4103" r:id="rId6" name="Button 7">
              <controlPr defaultSize="0" print="0" autoFill="0" autoPict="0" macro="[0]!lav_pdf">
                <anchor moveWithCells="1" sizeWithCells="1">
                  <from>
                    <xdr:col>0</xdr:col>
                    <xdr:colOff>57150</xdr:colOff>
                    <xdr:row>58</xdr:row>
                    <xdr:rowOff>133350</xdr:rowOff>
                  </from>
                  <to>
                    <xdr:col>9</xdr:col>
                    <xdr:colOff>9525</xdr:colOff>
                    <xdr:row>61</xdr:row>
                    <xdr:rowOff>9525</xdr:rowOff>
                  </to>
                </anchor>
              </controlPr>
            </control>
          </mc:Choice>
        </mc:AlternateContent>
        <mc:AlternateContent xmlns:mc="http://schemas.openxmlformats.org/markup-compatibility/2006">
          <mc:Choice Requires="x14">
            <control shapeId="4105" r:id="rId7" name="Button 9">
              <controlPr defaultSize="0" print="0" autoFill="0" autoPict="0" macro="[0]!lav_pdfer">
                <anchor moveWithCells="1" sizeWithCells="1">
                  <from>
                    <xdr:col>0</xdr:col>
                    <xdr:colOff>57150</xdr:colOff>
                    <xdr:row>61</xdr:row>
                    <xdr:rowOff>66675</xdr:rowOff>
                  </from>
                  <to>
                    <xdr:col>9</xdr:col>
                    <xdr:colOff>9525</xdr:colOff>
                    <xdr:row>63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Ark1">
    <tabColor theme="8" tint="0.39997558519241921"/>
    <pageSetUpPr fitToPage="1"/>
  </sheetPr>
  <dimension ref="A1:I85"/>
  <sheetViews>
    <sheetView showGridLines="0" zoomScaleNormal="100" workbookViewId="0"/>
  </sheetViews>
  <sheetFormatPr defaultRowHeight="15" x14ac:dyDescent="0.25"/>
  <cols>
    <col min="1" max="1" width="27.140625" customWidth="1"/>
    <col min="2" max="2" width="14.42578125" style="49" customWidth="1"/>
    <col min="3" max="4" width="9.28515625" style="49" customWidth="1"/>
    <col min="5" max="5" width="17.42578125" customWidth="1"/>
    <col min="6" max="7" width="18.5703125" customWidth="1"/>
    <col min="8" max="8" width="64.28515625" customWidth="1"/>
    <col min="9" max="9" width="10.28515625" customWidth="1"/>
  </cols>
  <sheetData>
    <row r="1" spans="1:9" x14ac:dyDescent="0.25">
      <c r="A1" s="40" t="s">
        <v>54</v>
      </c>
      <c r="B1" s="46">
        <f>SUM(Tabel1[Antal m² ekskl. åbninger:])-SUM(Tabel1[[#All],[Fradrag m²]])</f>
        <v>78.910740000000004</v>
      </c>
    </row>
    <row r="2" spans="1:9" x14ac:dyDescent="0.25">
      <c r="A2" s="40" t="s">
        <v>55</v>
      </c>
      <c r="B2" s="47">
        <f>CEILING(B1*65,5)</f>
        <v>5130</v>
      </c>
      <c r="C2" s="50" t="s">
        <v>74</v>
      </c>
    </row>
    <row r="4" spans="1:9" s="86" customFormat="1" ht="30" customHeight="1" x14ac:dyDescent="0.25">
      <c r="A4" s="86" t="s">
        <v>47</v>
      </c>
      <c r="B4" s="87" t="s">
        <v>64</v>
      </c>
      <c r="C4" s="87" t="s">
        <v>56</v>
      </c>
      <c r="D4" s="87" t="s">
        <v>57</v>
      </c>
      <c r="E4" s="86" t="s">
        <v>58</v>
      </c>
      <c r="F4" s="86" t="s">
        <v>48</v>
      </c>
      <c r="G4" s="86" t="s">
        <v>59</v>
      </c>
      <c r="H4" s="86" t="s">
        <v>51</v>
      </c>
      <c r="I4" s="86" t="s">
        <v>63</v>
      </c>
    </row>
    <row r="5" spans="1:9" x14ac:dyDescent="0.25">
      <c r="A5" t="s">
        <v>87</v>
      </c>
      <c r="B5" s="48">
        <v>39.744</v>
      </c>
      <c r="C5" s="49">
        <v>11028</v>
      </c>
      <c r="D5" s="49">
        <v>3600</v>
      </c>
      <c r="E5" t="s">
        <v>79</v>
      </c>
      <c r="F5" t="s">
        <v>80</v>
      </c>
      <c r="G5" t="s">
        <v>80</v>
      </c>
      <c r="I5" s="57">
        <f>SUMIF(Tabel13[[#All],[Navn på facade:]],Tabel1[[#This Row],[Navn på facade:]],Tabel13[[#All],[Antal m² åbning:]])</f>
        <v>15.07002</v>
      </c>
    </row>
    <row r="6" spans="1:9" x14ac:dyDescent="0.25">
      <c r="A6" t="s">
        <v>94</v>
      </c>
      <c r="B6" s="48">
        <v>39.744</v>
      </c>
      <c r="C6" s="49">
        <v>11028</v>
      </c>
      <c r="D6" s="49">
        <v>3600</v>
      </c>
      <c r="E6" t="s">
        <v>79</v>
      </c>
      <c r="F6" t="s">
        <v>83</v>
      </c>
      <c r="G6" t="s">
        <v>83</v>
      </c>
      <c r="I6" s="57">
        <f>SUMIF(Tabel13[[#All],[Navn på facade:]],Tabel1[[#This Row],[Navn på facade:]],Tabel13[[#All],[Antal m² åbning:]])</f>
        <v>12.818820000000001</v>
      </c>
    </row>
    <row r="7" spans="1:9" x14ac:dyDescent="0.25">
      <c r="A7" t="s">
        <v>95</v>
      </c>
      <c r="B7" s="48">
        <v>39.744</v>
      </c>
      <c r="C7" s="49">
        <v>11028</v>
      </c>
      <c r="D7" s="49">
        <v>3600</v>
      </c>
      <c r="E7" t="s">
        <v>79</v>
      </c>
      <c r="F7" t="s">
        <v>84</v>
      </c>
      <c r="G7" t="s">
        <v>83</v>
      </c>
      <c r="I7" s="57">
        <f>SUMIF(Tabel13[[#All],[Navn på facade:]],Tabel1[[#This Row],[Navn på facade:]],Tabel13[[#All],[Antal m² åbning:]])</f>
        <v>12.43242</v>
      </c>
    </row>
    <row r="8" spans="1:9" x14ac:dyDescent="0.25">
      <c r="I8" s="57"/>
    </row>
    <row r="9" spans="1:9" x14ac:dyDescent="0.25">
      <c r="I9" s="57"/>
    </row>
    <row r="10" spans="1:9" x14ac:dyDescent="0.25">
      <c r="I10" s="57"/>
    </row>
    <row r="11" spans="1:9" x14ac:dyDescent="0.25">
      <c r="I11" s="57"/>
    </row>
    <row r="12" spans="1:9" x14ac:dyDescent="0.25">
      <c r="I12" s="57"/>
    </row>
    <row r="13" spans="1:9" x14ac:dyDescent="0.25">
      <c r="I13" s="57"/>
    </row>
    <row r="14" spans="1:9" x14ac:dyDescent="0.25">
      <c r="I14" s="57"/>
    </row>
    <row r="15" spans="1:9" x14ac:dyDescent="0.25">
      <c r="I15" s="57"/>
    </row>
    <row r="16" spans="1:9" x14ac:dyDescent="0.25">
      <c r="I16" s="57"/>
    </row>
    <row r="17" spans="9:9" x14ac:dyDescent="0.25">
      <c r="I17" s="57"/>
    </row>
    <row r="18" spans="9:9" x14ac:dyDescent="0.25">
      <c r="I18" s="57"/>
    </row>
    <row r="19" spans="9:9" x14ac:dyDescent="0.25">
      <c r="I19" s="57"/>
    </row>
    <row r="20" spans="9:9" x14ac:dyDescent="0.25">
      <c r="I20" s="57"/>
    </row>
    <row r="21" spans="9:9" x14ac:dyDescent="0.25">
      <c r="I21" s="57"/>
    </row>
    <row r="22" spans="9:9" x14ac:dyDescent="0.25">
      <c r="I22" s="57"/>
    </row>
    <row r="23" spans="9:9" x14ac:dyDescent="0.25">
      <c r="I23" s="57"/>
    </row>
    <row r="24" spans="9:9" x14ac:dyDescent="0.25">
      <c r="I24" s="57"/>
    </row>
    <row r="25" spans="9:9" x14ac:dyDescent="0.25">
      <c r="I25" s="57"/>
    </row>
    <row r="26" spans="9:9" x14ac:dyDescent="0.25">
      <c r="I26" s="57"/>
    </row>
    <row r="27" spans="9:9" x14ac:dyDescent="0.25">
      <c r="I27" s="57"/>
    </row>
    <row r="28" spans="9:9" x14ac:dyDescent="0.25">
      <c r="I28" s="57"/>
    </row>
    <row r="29" spans="9:9" x14ac:dyDescent="0.25">
      <c r="I29" s="57"/>
    </row>
    <row r="30" spans="9:9" x14ac:dyDescent="0.25">
      <c r="I30" s="57"/>
    </row>
    <row r="31" spans="9:9" x14ac:dyDescent="0.25">
      <c r="I31" s="57"/>
    </row>
    <row r="32" spans="9:9" x14ac:dyDescent="0.25">
      <c r="I32" s="57"/>
    </row>
    <row r="33" spans="9:9" x14ac:dyDescent="0.25">
      <c r="I33" s="57"/>
    </row>
    <row r="34" spans="9:9" x14ac:dyDescent="0.25">
      <c r="I34" s="57"/>
    </row>
    <row r="35" spans="9:9" x14ac:dyDescent="0.25">
      <c r="I35" s="57"/>
    </row>
    <row r="36" spans="9:9" x14ac:dyDescent="0.25">
      <c r="I36" s="57"/>
    </row>
    <row r="37" spans="9:9" x14ac:dyDescent="0.25">
      <c r="I37" s="57"/>
    </row>
    <row r="38" spans="9:9" x14ac:dyDescent="0.25">
      <c r="I38" s="57"/>
    </row>
    <row r="39" spans="9:9" x14ac:dyDescent="0.25">
      <c r="I39" s="57"/>
    </row>
    <row r="40" spans="9:9" x14ac:dyDescent="0.25">
      <c r="I40" s="57"/>
    </row>
    <row r="41" spans="9:9" x14ac:dyDescent="0.25">
      <c r="I41" s="57"/>
    </row>
    <row r="42" spans="9:9" x14ac:dyDescent="0.25">
      <c r="I42" s="57"/>
    </row>
    <row r="43" spans="9:9" x14ac:dyDescent="0.25">
      <c r="I43" s="57"/>
    </row>
    <row r="44" spans="9:9" x14ac:dyDescent="0.25">
      <c r="I44" s="57"/>
    </row>
    <row r="45" spans="9:9" x14ac:dyDescent="0.25">
      <c r="I45" s="57"/>
    </row>
    <row r="46" spans="9:9" x14ac:dyDescent="0.25">
      <c r="I46" s="57"/>
    </row>
    <row r="47" spans="9:9" x14ac:dyDescent="0.25">
      <c r="I47" s="57"/>
    </row>
    <row r="48" spans="9:9" x14ac:dyDescent="0.25">
      <c r="I48" s="57"/>
    </row>
    <row r="49" spans="9:9" x14ac:dyDescent="0.25">
      <c r="I49" s="57"/>
    </row>
    <row r="50" spans="9:9" x14ac:dyDescent="0.25">
      <c r="I50" s="57"/>
    </row>
    <row r="51" spans="9:9" x14ac:dyDescent="0.25">
      <c r="I51" s="57"/>
    </row>
    <row r="52" spans="9:9" x14ac:dyDescent="0.25">
      <c r="I52" s="57"/>
    </row>
    <row r="53" spans="9:9" x14ac:dyDescent="0.25">
      <c r="I53" s="57"/>
    </row>
    <row r="54" spans="9:9" x14ac:dyDescent="0.25">
      <c r="I54" s="57"/>
    </row>
    <row r="55" spans="9:9" x14ac:dyDescent="0.25">
      <c r="I55" s="57"/>
    </row>
    <row r="56" spans="9:9" x14ac:dyDescent="0.25">
      <c r="I56" s="57"/>
    </row>
    <row r="57" spans="9:9" x14ac:dyDescent="0.25">
      <c r="I57" s="57"/>
    </row>
    <row r="58" spans="9:9" x14ac:dyDescent="0.25">
      <c r="I58" s="57"/>
    </row>
    <row r="59" spans="9:9" x14ac:dyDescent="0.25">
      <c r="I59" s="57"/>
    </row>
    <row r="60" spans="9:9" x14ac:dyDescent="0.25">
      <c r="I60" s="57"/>
    </row>
    <row r="61" spans="9:9" x14ac:dyDescent="0.25">
      <c r="I61" s="57"/>
    </row>
    <row r="62" spans="9:9" x14ac:dyDescent="0.25">
      <c r="I62" s="57"/>
    </row>
    <row r="63" spans="9:9" x14ac:dyDescent="0.25">
      <c r="I63" s="57"/>
    </row>
    <row r="64" spans="9:9" x14ac:dyDescent="0.25">
      <c r="I64" s="57"/>
    </row>
    <row r="65" spans="9:9" x14ac:dyDescent="0.25">
      <c r="I65" s="57"/>
    </row>
    <row r="66" spans="9:9" x14ac:dyDescent="0.25">
      <c r="I66" s="57"/>
    </row>
    <row r="67" spans="9:9" x14ac:dyDescent="0.25">
      <c r="I67" s="57"/>
    </row>
    <row r="68" spans="9:9" x14ac:dyDescent="0.25">
      <c r="I68" s="57"/>
    </row>
    <row r="69" spans="9:9" x14ac:dyDescent="0.25">
      <c r="I69" s="57"/>
    </row>
    <row r="70" spans="9:9" x14ac:dyDescent="0.25">
      <c r="I70" s="57"/>
    </row>
    <row r="71" spans="9:9" x14ac:dyDescent="0.25">
      <c r="I71" s="57"/>
    </row>
    <row r="72" spans="9:9" x14ac:dyDescent="0.25">
      <c r="I72" s="57"/>
    </row>
    <row r="73" spans="9:9" x14ac:dyDescent="0.25">
      <c r="I73" s="57"/>
    </row>
    <row r="74" spans="9:9" x14ac:dyDescent="0.25">
      <c r="I74" s="57"/>
    </row>
    <row r="75" spans="9:9" x14ac:dyDescent="0.25">
      <c r="I75" s="57"/>
    </row>
    <row r="76" spans="9:9" x14ac:dyDescent="0.25">
      <c r="I76" s="57"/>
    </row>
    <row r="77" spans="9:9" x14ac:dyDescent="0.25">
      <c r="I77" s="57"/>
    </row>
    <row r="78" spans="9:9" x14ac:dyDescent="0.25">
      <c r="I78" s="57"/>
    </row>
    <row r="79" spans="9:9" x14ac:dyDescent="0.25">
      <c r="I79" s="57"/>
    </row>
    <row r="80" spans="9:9" x14ac:dyDescent="0.25">
      <c r="I80" s="57"/>
    </row>
    <row r="81" spans="9:9" x14ac:dyDescent="0.25">
      <c r="I81" s="57"/>
    </row>
    <row r="82" spans="9:9" x14ac:dyDescent="0.25">
      <c r="I82" s="57"/>
    </row>
    <row r="83" spans="9:9" x14ac:dyDescent="0.25">
      <c r="I83" s="57"/>
    </row>
    <row r="84" spans="9:9" x14ac:dyDescent="0.25">
      <c r="I84" s="57"/>
    </row>
    <row r="85" spans="9:9" x14ac:dyDescent="0.25">
      <c r="I85" s="57"/>
    </row>
  </sheetData>
  <pageMargins left="0.19685039370078741" right="0.19685039370078741" top="1.5354330708661417" bottom="0.55118110236220474" header="0.31496062992125984" footer="0.31496062992125984"/>
  <pageSetup paperSize="8" orientation="landscape" r:id="rId1"/>
  <headerFooter>
    <oddHeader>&amp;L&amp;G&amp;REgernsund Tegl - &amp;A</oddHeader>
    <oddFooter>&amp;R&amp;D
&amp;P ud af &amp;N</odd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Ark7">
    <tabColor theme="8" tint="0.39997558519241921"/>
    <pageSetUpPr fitToPage="1"/>
  </sheetPr>
  <dimension ref="A1:G13"/>
  <sheetViews>
    <sheetView showGridLines="0" zoomScaleNormal="100" workbookViewId="0"/>
  </sheetViews>
  <sheetFormatPr defaultRowHeight="15" x14ac:dyDescent="0.25"/>
  <cols>
    <col min="1" max="1" width="27.140625" customWidth="1"/>
    <col min="2" max="2" width="11.140625" customWidth="1"/>
    <col min="3" max="3" width="15.7109375" customWidth="1"/>
    <col min="4" max="4" width="12.140625" customWidth="1"/>
    <col min="5" max="5" width="10.5703125" customWidth="1"/>
    <col min="6" max="6" width="20.5703125" customWidth="1"/>
    <col min="7" max="7" width="68.5703125" customWidth="1"/>
    <col min="8" max="8" width="9.140625" customWidth="1"/>
  </cols>
  <sheetData>
    <row r="1" spans="1:7" x14ac:dyDescent="0.25">
      <c r="A1" s="40" t="s">
        <v>52</v>
      </c>
      <c r="B1" s="40">
        <f>COUNTA(Tabel13[Vinduesnr.:])-COUNTIF(G:G,"*Ingen overligger*")</f>
        <v>9</v>
      </c>
    </row>
    <row r="2" spans="1:7" x14ac:dyDescent="0.25">
      <c r="A2" s="40" t="s">
        <v>53</v>
      </c>
      <c r="B2" s="56">
        <f>SUM(Tabel13[Antal m² åbning:])</f>
        <v>40.321260000000002</v>
      </c>
    </row>
    <row r="4" spans="1:7" x14ac:dyDescent="0.25">
      <c r="A4" t="s">
        <v>47</v>
      </c>
      <c r="B4" t="s">
        <v>60</v>
      </c>
      <c r="C4" t="s">
        <v>50</v>
      </c>
      <c r="D4" t="s">
        <v>56</v>
      </c>
      <c r="E4" t="s">
        <v>57</v>
      </c>
      <c r="F4" t="s">
        <v>49</v>
      </c>
      <c r="G4" t="s">
        <v>51</v>
      </c>
    </row>
    <row r="5" spans="1:7" x14ac:dyDescent="0.25">
      <c r="A5" t="s">
        <v>87</v>
      </c>
      <c r="B5">
        <v>1</v>
      </c>
      <c r="C5" s="51">
        <v>4.1441400000000002</v>
      </c>
      <c r="D5">
        <v>1932</v>
      </c>
      <c r="E5">
        <v>2145</v>
      </c>
      <c r="F5">
        <v>11</v>
      </c>
    </row>
    <row r="6" spans="1:7" x14ac:dyDescent="0.25">
      <c r="A6" t="s">
        <v>87</v>
      </c>
      <c r="B6">
        <v>2</v>
      </c>
      <c r="C6" s="51">
        <v>4.1441400000000002</v>
      </c>
      <c r="D6">
        <v>1932</v>
      </c>
      <c r="E6">
        <v>2145</v>
      </c>
      <c r="F6">
        <v>10</v>
      </c>
    </row>
    <row r="7" spans="1:7" x14ac:dyDescent="0.25">
      <c r="A7" t="s">
        <v>87</v>
      </c>
      <c r="B7">
        <v>3</v>
      </c>
      <c r="C7" s="51">
        <v>6.7817400000000001</v>
      </c>
      <c r="D7">
        <v>2892</v>
      </c>
      <c r="E7">
        <v>2345</v>
      </c>
      <c r="F7">
        <v>14</v>
      </c>
    </row>
    <row r="8" spans="1:7" x14ac:dyDescent="0.25">
      <c r="A8" t="s">
        <v>94</v>
      </c>
      <c r="B8">
        <v>1</v>
      </c>
      <c r="C8" s="51">
        <v>4.1441400000000002</v>
      </c>
      <c r="D8">
        <v>1932</v>
      </c>
      <c r="E8">
        <v>2145</v>
      </c>
      <c r="F8">
        <v>11</v>
      </c>
    </row>
    <row r="9" spans="1:7" x14ac:dyDescent="0.25">
      <c r="A9" t="s">
        <v>94</v>
      </c>
      <c r="B9">
        <v>2</v>
      </c>
      <c r="C9" s="51">
        <v>4.1441400000000002</v>
      </c>
      <c r="D9">
        <v>1932</v>
      </c>
      <c r="E9">
        <v>2145</v>
      </c>
      <c r="F9">
        <v>11</v>
      </c>
    </row>
    <row r="10" spans="1:7" x14ac:dyDescent="0.25">
      <c r="A10" t="s">
        <v>94</v>
      </c>
      <c r="B10">
        <v>3</v>
      </c>
      <c r="C10" s="51">
        <v>4.5305400000000002</v>
      </c>
      <c r="D10">
        <v>1932</v>
      </c>
      <c r="E10">
        <v>2345</v>
      </c>
      <c r="F10">
        <v>11</v>
      </c>
    </row>
    <row r="11" spans="1:7" x14ac:dyDescent="0.25">
      <c r="A11" t="s">
        <v>95</v>
      </c>
      <c r="B11">
        <v>1</v>
      </c>
      <c r="C11" s="51">
        <v>4.1441400000000002</v>
      </c>
      <c r="D11">
        <v>1932</v>
      </c>
      <c r="E11">
        <v>2145</v>
      </c>
      <c r="F11">
        <v>10</v>
      </c>
    </row>
    <row r="12" spans="1:7" x14ac:dyDescent="0.25">
      <c r="A12" t="s">
        <v>95</v>
      </c>
      <c r="B12">
        <v>1</v>
      </c>
      <c r="C12" s="51">
        <v>4.1441400000000002</v>
      </c>
      <c r="D12">
        <v>1932</v>
      </c>
      <c r="E12">
        <v>2145</v>
      </c>
      <c r="F12">
        <v>10</v>
      </c>
    </row>
    <row r="13" spans="1:7" x14ac:dyDescent="0.25">
      <c r="A13" t="s">
        <v>95</v>
      </c>
      <c r="B13">
        <v>2</v>
      </c>
      <c r="C13" s="51">
        <v>4.1441400000000002</v>
      </c>
      <c r="D13">
        <v>1932</v>
      </c>
      <c r="E13">
        <v>2145</v>
      </c>
      <c r="F13">
        <v>11</v>
      </c>
    </row>
  </sheetData>
  <pageMargins left="0.19685039370078741" right="0.19685039370078741" top="1.5354330708661417" bottom="0.55118110236220474" header="0.31496062992125984" footer="0.31496062992125984"/>
  <pageSetup paperSize="9" scale="86" orientation="landscape" r:id="rId1"/>
  <headerFooter>
    <oddHeader>&amp;L&amp;G&amp;REgernsund Tegl - &amp;A</oddHeader>
    <oddFooter>&amp;R&amp;D
&amp;P ud af &amp;N</oddFooter>
  </headerFooter>
  <legacyDrawingHF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Ark3">
    <tabColor theme="3" tint="0.39997558519241921"/>
  </sheetPr>
  <dimension ref="A1:U40"/>
  <sheetViews>
    <sheetView showGridLines="0" zoomScale="80" zoomScaleNormal="80" workbookViewId="0">
      <selection sqref="A1:B4"/>
    </sheetView>
  </sheetViews>
  <sheetFormatPr defaultRowHeight="15" x14ac:dyDescent="0.25"/>
  <cols>
    <col min="2" max="2" width="19.5703125" bestFit="1" customWidth="1"/>
    <col min="3" max="3" width="21.42578125" bestFit="1" customWidth="1"/>
    <col min="4" max="5" width="10.28515625" bestFit="1" customWidth="1"/>
    <col min="6" max="16" width="10.7109375" bestFit="1" customWidth="1"/>
    <col min="17" max="17" width="10.28515625" bestFit="1" customWidth="1"/>
  </cols>
  <sheetData>
    <row r="1" spans="1:21" ht="15" customHeight="1" x14ac:dyDescent="0.25">
      <c r="A1" s="142" t="s">
        <v>61</v>
      </c>
      <c r="B1" s="143"/>
      <c r="C1" s="136" t="s">
        <v>6</v>
      </c>
      <c r="D1" s="136"/>
      <c r="E1" s="136"/>
      <c r="F1" s="136"/>
      <c r="G1" s="136"/>
      <c r="H1" s="136"/>
      <c r="I1" s="136"/>
      <c r="J1" s="136"/>
      <c r="K1" s="136"/>
      <c r="L1" s="136"/>
      <c r="M1" s="136"/>
      <c r="N1" s="136"/>
      <c r="O1" s="136"/>
      <c r="P1" s="136"/>
      <c r="Q1" s="136"/>
      <c r="R1" s="37"/>
    </row>
    <row r="2" spans="1:21" ht="60" customHeight="1" x14ac:dyDescent="0.25">
      <c r="A2" s="143"/>
      <c r="B2" s="144"/>
      <c r="C2" s="34" t="s">
        <v>41</v>
      </c>
      <c r="D2" s="35">
        <v>2</v>
      </c>
      <c r="E2" s="35">
        <v>3</v>
      </c>
      <c r="F2" s="36" t="s">
        <v>7</v>
      </c>
      <c r="G2" s="36" t="s">
        <v>8</v>
      </c>
      <c r="H2" s="36" t="s">
        <v>9</v>
      </c>
      <c r="I2" s="36" t="s">
        <v>10</v>
      </c>
      <c r="J2" s="36" t="s">
        <v>11</v>
      </c>
      <c r="K2" s="36" t="s">
        <v>12</v>
      </c>
      <c r="L2" s="36" t="s">
        <v>13</v>
      </c>
      <c r="M2" s="36" t="s">
        <v>14</v>
      </c>
      <c r="N2" s="36" t="s">
        <v>15</v>
      </c>
      <c r="O2" s="36" t="s">
        <v>16</v>
      </c>
      <c r="P2" s="36" t="s">
        <v>17</v>
      </c>
      <c r="Q2" s="36" t="s">
        <v>18</v>
      </c>
      <c r="R2" s="37"/>
    </row>
    <row r="3" spans="1:21" ht="30" x14ac:dyDescent="0.25">
      <c r="A3" s="143"/>
      <c r="B3" s="144"/>
      <c r="C3" s="29" t="s">
        <v>19</v>
      </c>
      <c r="D3" s="53">
        <v>1</v>
      </c>
      <c r="E3" s="53">
        <v>2</v>
      </c>
      <c r="F3" s="53">
        <v>3</v>
      </c>
      <c r="G3" s="53">
        <v>4</v>
      </c>
      <c r="H3" s="53">
        <v>5</v>
      </c>
      <c r="I3" s="53">
        <v>6</v>
      </c>
      <c r="J3" s="53">
        <v>7</v>
      </c>
      <c r="K3" s="53">
        <v>8</v>
      </c>
      <c r="L3" s="53">
        <v>9</v>
      </c>
      <c r="M3" s="53">
        <v>10</v>
      </c>
      <c r="N3" s="53">
        <v>11</v>
      </c>
      <c r="O3" s="53">
        <v>12</v>
      </c>
      <c r="P3" s="53">
        <v>13</v>
      </c>
      <c r="Q3" s="53">
        <v>14</v>
      </c>
      <c r="R3" s="37"/>
    </row>
    <row r="4" spans="1:21" ht="45" x14ac:dyDescent="0.25">
      <c r="A4" s="145"/>
      <c r="B4" s="146"/>
      <c r="C4" s="30" t="s">
        <v>40</v>
      </c>
      <c r="D4" s="54">
        <v>12.1</v>
      </c>
      <c r="E4" s="54">
        <v>18.8</v>
      </c>
      <c r="F4" s="55" t="s">
        <v>20</v>
      </c>
      <c r="G4" s="55" t="s">
        <v>21</v>
      </c>
      <c r="H4" s="55" t="s">
        <v>22</v>
      </c>
      <c r="I4" s="55" t="s">
        <v>23</v>
      </c>
      <c r="J4" s="55" t="s">
        <v>24</v>
      </c>
      <c r="K4" s="55" t="s">
        <v>25</v>
      </c>
      <c r="L4" s="55" t="s">
        <v>26</v>
      </c>
      <c r="M4" s="55" t="s">
        <v>27</v>
      </c>
      <c r="N4" s="55" t="s">
        <v>28</v>
      </c>
      <c r="O4" s="55" t="s">
        <v>29</v>
      </c>
      <c r="P4" s="55" t="s">
        <v>30</v>
      </c>
      <c r="Q4" s="55" t="s">
        <v>31</v>
      </c>
      <c r="R4" s="37"/>
    </row>
    <row r="5" spans="1:21" ht="45" x14ac:dyDescent="0.25">
      <c r="A5" s="137" t="s">
        <v>32</v>
      </c>
      <c r="B5" s="29" t="s">
        <v>42</v>
      </c>
      <c r="C5" s="31" t="s">
        <v>33</v>
      </c>
      <c r="D5" s="52"/>
      <c r="E5" s="52"/>
      <c r="F5" s="52"/>
      <c r="G5" s="52"/>
      <c r="H5" s="52"/>
      <c r="I5" s="52"/>
      <c r="J5" s="52"/>
      <c r="K5" s="52"/>
      <c r="L5" s="52"/>
      <c r="M5" s="52"/>
      <c r="N5" s="52"/>
      <c r="O5" s="52"/>
      <c r="P5" s="52"/>
      <c r="Q5" s="52"/>
      <c r="R5" s="38"/>
    </row>
    <row r="6" spans="1:21" ht="15" customHeight="1" x14ac:dyDescent="0.25">
      <c r="A6" s="138"/>
      <c r="B6" s="32">
        <v>4</v>
      </c>
      <c r="C6" s="32">
        <v>492</v>
      </c>
      <c r="D6" s="45" t="s">
        <v>34</v>
      </c>
      <c r="E6" s="45" t="s">
        <v>34</v>
      </c>
      <c r="F6" s="45" t="s">
        <v>34</v>
      </c>
      <c r="G6" s="45" t="s">
        <v>34</v>
      </c>
      <c r="H6" s="45" t="s">
        <v>34</v>
      </c>
      <c r="I6" s="45" t="s">
        <v>34</v>
      </c>
      <c r="J6" s="45" t="s">
        <v>34</v>
      </c>
      <c r="K6" s="45" t="s">
        <v>34</v>
      </c>
      <c r="L6" s="45" t="s">
        <v>34</v>
      </c>
      <c r="M6" s="45" t="s">
        <v>34</v>
      </c>
      <c r="N6" s="45" t="s">
        <v>34</v>
      </c>
      <c r="O6" s="45" t="s">
        <v>34</v>
      </c>
      <c r="P6" s="45" t="s">
        <v>34</v>
      </c>
      <c r="Q6" s="45" t="s">
        <v>34</v>
      </c>
      <c r="R6" s="137" t="s">
        <v>35</v>
      </c>
      <c r="S6">
        <f>B6*240-12</f>
        <v>948</v>
      </c>
      <c r="T6" s="42">
        <f>S6-C6</f>
        <v>456</v>
      </c>
      <c r="U6">
        <f>T6/2</f>
        <v>228</v>
      </c>
    </row>
    <row r="7" spans="1:21" ht="15" customHeight="1" x14ac:dyDescent="0.25">
      <c r="A7" s="138"/>
      <c r="B7" s="33">
        <v>5</v>
      </c>
      <c r="C7" s="33">
        <v>732</v>
      </c>
      <c r="D7" s="45" t="s">
        <v>34</v>
      </c>
      <c r="E7" s="45" t="s">
        <v>34</v>
      </c>
      <c r="F7" s="45" t="s">
        <v>34</v>
      </c>
      <c r="G7" s="45" t="s">
        <v>34</v>
      </c>
      <c r="H7" s="45" t="s">
        <v>34</v>
      </c>
      <c r="I7" s="45" t="s">
        <v>34</v>
      </c>
      <c r="J7" s="45" t="s">
        <v>34</v>
      </c>
      <c r="K7" s="45" t="s">
        <v>34</v>
      </c>
      <c r="L7" s="45" t="s">
        <v>34</v>
      </c>
      <c r="M7" s="45" t="s">
        <v>34</v>
      </c>
      <c r="N7" s="45" t="s">
        <v>34</v>
      </c>
      <c r="O7" s="45" t="s">
        <v>34</v>
      </c>
      <c r="P7" s="45" t="s">
        <v>34</v>
      </c>
      <c r="Q7" s="45" t="s">
        <v>34</v>
      </c>
      <c r="R7" s="138"/>
      <c r="S7">
        <f t="shared" ref="S7:S37" si="0">B7*240-12</f>
        <v>1188</v>
      </c>
      <c r="T7" s="42">
        <f t="shared" ref="T7:T36" si="1">S7-C7</f>
        <v>456</v>
      </c>
      <c r="U7">
        <f t="shared" ref="U7:U37" si="2">T7/2</f>
        <v>228</v>
      </c>
    </row>
    <row r="8" spans="1:21" ht="15" customHeight="1" x14ac:dyDescent="0.25">
      <c r="A8" s="138"/>
      <c r="B8" s="32">
        <v>6</v>
      </c>
      <c r="C8" s="32">
        <v>972</v>
      </c>
      <c r="D8" s="45" t="s">
        <v>34</v>
      </c>
      <c r="E8" s="45" t="s">
        <v>34</v>
      </c>
      <c r="F8" s="45" t="s">
        <v>34</v>
      </c>
      <c r="G8" s="45" t="s">
        <v>34</v>
      </c>
      <c r="H8" s="45" t="s">
        <v>34</v>
      </c>
      <c r="I8" s="45" t="s">
        <v>34</v>
      </c>
      <c r="J8" s="45" t="s">
        <v>34</v>
      </c>
      <c r="K8" s="45" t="s">
        <v>34</v>
      </c>
      <c r="L8" s="45" t="s">
        <v>34</v>
      </c>
      <c r="M8" s="45" t="s">
        <v>34</v>
      </c>
      <c r="N8" s="45" t="s">
        <v>34</v>
      </c>
      <c r="O8" s="45" t="s">
        <v>34</v>
      </c>
      <c r="P8" s="45" t="s">
        <v>34</v>
      </c>
      <c r="Q8" s="45" t="s">
        <v>34</v>
      </c>
      <c r="R8" s="138"/>
      <c r="S8">
        <f t="shared" si="0"/>
        <v>1428</v>
      </c>
      <c r="T8" s="42">
        <f t="shared" si="1"/>
        <v>456</v>
      </c>
      <c r="U8">
        <f t="shared" si="2"/>
        <v>228</v>
      </c>
    </row>
    <row r="9" spans="1:21" ht="15" customHeight="1" x14ac:dyDescent="0.25">
      <c r="A9" s="138"/>
      <c r="B9" s="33">
        <v>7</v>
      </c>
      <c r="C9" s="33">
        <v>1212</v>
      </c>
      <c r="D9" s="45" t="s">
        <v>34</v>
      </c>
      <c r="E9" s="45" t="s">
        <v>34</v>
      </c>
      <c r="F9" s="45" t="s">
        <v>34</v>
      </c>
      <c r="G9" s="45" t="s">
        <v>34</v>
      </c>
      <c r="H9" s="45" t="s">
        <v>34</v>
      </c>
      <c r="I9" s="45" t="s">
        <v>34</v>
      </c>
      <c r="J9" s="45" t="s">
        <v>34</v>
      </c>
      <c r="K9" s="45" t="s">
        <v>34</v>
      </c>
      <c r="L9" s="45" t="s">
        <v>34</v>
      </c>
      <c r="M9" s="45" t="s">
        <v>34</v>
      </c>
      <c r="N9" s="45" t="s">
        <v>34</v>
      </c>
      <c r="O9" s="45" t="s">
        <v>34</v>
      </c>
      <c r="P9" s="45" t="s">
        <v>34</v>
      </c>
      <c r="Q9" s="45" t="s">
        <v>34</v>
      </c>
      <c r="R9" s="138"/>
      <c r="S9">
        <f t="shared" si="0"/>
        <v>1668</v>
      </c>
      <c r="T9" s="42">
        <f t="shared" si="1"/>
        <v>456</v>
      </c>
      <c r="U9">
        <f t="shared" si="2"/>
        <v>228</v>
      </c>
    </row>
    <row r="10" spans="1:21" ht="15" customHeight="1" x14ac:dyDescent="0.25">
      <c r="A10" s="138"/>
      <c r="B10" s="32">
        <v>8</v>
      </c>
      <c r="C10" s="32">
        <v>1452</v>
      </c>
      <c r="D10" s="43" t="s">
        <v>36</v>
      </c>
      <c r="E10" s="45" t="s">
        <v>34</v>
      </c>
      <c r="F10" s="45" t="s">
        <v>34</v>
      </c>
      <c r="G10" s="45" t="s">
        <v>34</v>
      </c>
      <c r="H10" s="45" t="s">
        <v>34</v>
      </c>
      <c r="I10" s="45" t="s">
        <v>34</v>
      </c>
      <c r="J10" s="45" t="s">
        <v>34</v>
      </c>
      <c r="K10" s="45" t="s">
        <v>34</v>
      </c>
      <c r="L10" s="45" t="s">
        <v>34</v>
      </c>
      <c r="M10" s="45" t="s">
        <v>34</v>
      </c>
      <c r="N10" s="45" t="s">
        <v>34</v>
      </c>
      <c r="O10" s="45" t="s">
        <v>34</v>
      </c>
      <c r="P10" s="45" t="s">
        <v>34</v>
      </c>
      <c r="Q10" s="45" t="s">
        <v>34</v>
      </c>
      <c r="R10" s="138"/>
      <c r="S10">
        <f t="shared" si="0"/>
        <v>1908</v>
      </c>
      <c r="T10" s="42">
        <f t="shared" si="1"/>
        <v>456</v>
      </c>
      <c r="U10">
        <f t="shared" si="2"/>
        <v>228</v>
      </c>
    </row>
    <row r="11" spans="1:21" ht="15" customHeight="1" x14ac:dyDescent="0.25">
      <c r="A11" s="138"/>
      <c r="B11" s="33">
        <v>9</v>
      </c>
      <c r="C11" s="33">
        <v>1692</v>
      </c>
      <c r="D11" s="43" t="s">
        <v>36</v>
      </c>
      <c r="E11" s="45" t="s">
        <v>34</v>
      </c>
      <c r="F11" s="45" t="s">
        <v>34</v>
      </c>
      <c r="G11" s="45" t="s">
        <v>34</v>
      </c>
      <c r="H11" s="45" t="s">
        <v>34</v>
      </c>
      <c r="I11" s="45" t="s">
        <v>34</v>
      </c>
      <c r="J11" s="45" t="s">
        <v>34</v>
      </c>
      <c r="K11" s="45" t="s">
        <v>34</v>
      </c>
      <c r="L11" s="45" t="s">
        <v>34</v>
      </c>
      <c r="M11" s="45" t="s">
        <v>34</v>
      </c>
      <c r="N11" s="45" t="s">
        <v>34</v>
      </c>
      <c r="O11" s="45" t="s">
        <v>34</v>
      </c>
      <c r="P11" s="45" t="s">
        <v>34</v>
      </c>
      <c r="Q11" s="45" t="s">
        <v>34</v>
      </c>
      <c r="R11" s="138"/>
      <c r="S11">
        <f t="shared" si="0"/>
        <v>2148</v>
      </c>
      <c r="T11" s="42">
        <f t="shared" si="1"/>
        <v>456</v>
      </c>
      <c r="U11">
        <f t="shared" si="2"/>
        <v>228</v>
      </c>
    </row>
    <row r="12" spans="1:21" ht="15" customHeight="1" x14ac:dyDescent="0.25">
      <c r="A12" s="138"/>
      <c r="B12" s="32">
        <v>10</v>
      </c>
      <c r="C12" s="32">
        <v>1932</v>
      </c>
      <c r="D12" s="43" t="s">
        <v>36</v>
      </c>
      <c r="E12" s="45" t="s">
        <v>34</v>
      </c>
      <c r="F12" s="45" t="s">
        <v>34</v>
      </c>
      <c r="G12" s="45" t="s">
        <v>34</v>
      </c>
      <c r="H12" s="45" t="s">
        <v>34</v>
      </c>
      <c r="I12" s="45" t="s">
        <v>34</v>
      </c>
      <c r="J12" s="45" t="s">
        <v>34</v>
      </c>
      <c r="K12" s="45" t="s">
        <v>34</v>
      </c>
      <c r="L12" s="45" t="s">
        <v>34</v>
      </c>
      <c r="M12" s="45" t="s">
        <v>34</v>
      </c>
      <c r="N12" s="45" t="s">
        <v>34</v>
      </c>
      <c r="O12" s="45" t="s">
        <v>34</v>
      </c>
      <c r="P12" s="45" t="s">
        <v>34</v>
      </c>
      <c r="Q12" s="45" t="s">
        <v>34</v>
      </c>
      <c r="R12" s="138"/>
      <c r="S12">
        <f t="shared" si="0"/>
        <v>2388</v>
      </c>
      <c r="T12" s="42">
        <f t="shared" si="1"/>
        <v>456</v>
      </c>
      <c r="U12">
        <f t="shared" si="2"/>
        <v>228</v>
      </c>
    </row>
    <row r="13" spans="1:21" ht="15" customHeight="1" x14ac:dyDescent="0.25">
      <c r="A13" s="138"/>
      <c r="B13" s="33">
        <v>11</v>
      </c>
      <c r="C13" s="33">
        <v>2172</v>
      </c>
      <c r="D13" s="43" t="s">
        <v>36</v>
      </c>
      <c r="E13" s="45" t="s">
        <v>34</v>
      </c>
      <c r="F13" s="45" t="s">
        <v>34</v>
      </c>
      <c r="G13" s="45" t="s">
        <v>34</v>
      </c>
      <c r="H13" s="45" t="s">
        <v>34</v>
      </c>
      <c r="I13" s="45" t="s">
        <v>34</v>
      </c>
      <c r="J13" s="45" t="s">
        <v>34</v>
      </c>
      <c r="K13" s="45" t="s">
        <v>34</v>
      </c>
      <c r="L13" s="45" t="s">
        <v>34</v>
      </c>
      <c r="M13" s="45" t="s">
        <v>34</v>
      </c>
      <c r="N13" s="45" t="s">
        <v>34</v>
      </c>
      <c r="O13" s="45" t="s">
        <v>34</v>
      </c>
      <c r="P13" s="45" t="s">
        <v>34</v>
      </c>
      <c r="Q13" s="45" t="s">
        <v>34</v>
      </c>
      <c r="R13" s="138"/>
      <c r="S13">
        <f t="shared" si="0"/>
        <v>2628</v>
      </c>
      <c r="T13" s="42">
        <f t="shared" si="1"/>
        <v>456</v>
      </c>
      <c r="U13">
        <f t="shared" si="2"/>
        <v>228</v>
      </c>
    </row>
    <row r="14" spans="1:21" ht="15" customHeight="1" x14ac:dyDescent="0.25">
      <c r="A14" s="138"/>
      <c r="B14" s="32">
        <v>12</v>
      </c>
      <c r="C14" s="32">
        <v>2412</v>
      </c>
      <c r="D14" s="43" t="s">
        <v>36</v>
      </c>
      <c r="E14" s="45" t="s">
        <v>34</v>
      </c>
      <c r="F14" s="45" t="s">
        <v>34</v>
      </c>
      <c r="G14" s="45" t="s">
        <v>34</v>
      </c>
      <c r="H14" s="45" t="s">
        <v>34</v>
      </c>
      <c r="I14" s="45" t="s">
        <v>34</v>
      </c>
      <c r="J14" s="45" t="s">
        <v>34</v>
      </c>
      <c r="K14" s="45" t="s">
        <v>34</v>
      </c>
      <c r="L14" s="45" t="s">
        <v>34</v>
      </c>
      <c r="M14" s="45" t="s">
        <v>34</v>
      </c>
      <c r="N14" s="45" t="s">
        <v>34</v>
      </c>
      <c r="O14" s="45" t="s">
        <v>34</v>
      </c>
      <c r="P14" s="45" t="s">
        <v>34</v>
      </c>
      <c r="Q14" s="45" t="s">
        <v>34</v>
      </c>
      <c r="R14" s="138"/>
      <c r="S14">
        <f t="shared" si="0"/>
        <v>2868</v>
      </c>
      <c r="T14" s="42">
        <f t="shared" si="1"/>
        <v>456</v>
      </c>
      <c r="U14">
        <f t="shared" si="2"/>
        <v>228</v>
      </c>
    </row>
    <row r="15" spans="1:21" ht="15" customHeight="1" x14ac:dyDescent="0.25">
      <c r="A15" s="138"/>
      <c r="B15" s="33">
        <v>13</v>
      </c>
      <c r="C15" s="33">
        <v>2652</v>
      </c>
      <c r="D15" s="43" t="s">
        <v>36</v>
      </c>
      <c r="E15" s="43" t="s">
        <v>36</v>
      </c>
      <c r="F15" s="45" t="s">
        <v>34</v>
      </c>
      <c r="G15" s="45" t="s">
        <v>34</v>
      </c>
      <c r="H15" s="45" t="s">
        <v>34</v>
      </c>
      <c r="I15" s="45" t="s">
        <v>34</v>
      </c>
      <c r="J15" s="45" t="s">
        <v>34</v>
      </c>
      <c r="K15" s="45" t="s">
        <v>34</v>
      </c>
      <c r="L15" s="45" t="s">
        <v>34</v>
      </c>
      <c r="M15" s="45" t="s">
        <v>34</v>
      </c>
      <c r="N15" s="45" t="s">
        <v>34</v>
      </c>
      <c r="O15" s="45" t="s">
        <v>34</v>
      </c>
      <c r="P15" s="45" t="s">
        <v>34</v>
      </c>
      <c r="Q15" s="45" t="s">
        <v>34</v>
      </c>
      <c r="R15" s="138"/>
      <c r="S15">
        <f t="shared" si="0"/>
        <v>3108</v>
      </c>
      <c r="T15" s="42">
        <f t="shared" si="1"/>
        <v>456</v>
      </c>
      <c r="U15">
        <f t="shared" si="2"/>
        <v>228</v>
      </c>
    </row>
    <row r="16" spans="1:21" ht="15" customHeight="1" x14ac:dyDescent="0.25">
      <c r="A16" s="138"/>
      <c r="B16" s="32">
        <v>14</v>
      </c>
      <c r="C16" s="32">
        <v>2892</v>
      </c>
      <c r="D16" s="43" t="s">
        <v>36</v>
      </c>
      <c r="E16" s="43" t="s">
        <v>36</v>
      </c>
      <c r="F16" s="45" t="s">
        <v>34</v>
      </c>
      <c r="G16" s="45" t="s">
        <v>34</v>
      </c>
      <c r="H16" s="45" t="s">
        <v>34</v>
      </c>
      <c r="I16" s="45" t="s">
        <v>34</v>
      </c>
      <c r="J16" s="45" t="s">
        <v>34</v>
      </c>
      <c r="K16" s="45" t="s">
        <v>34</v>
      </c>
      <c r="L16" s="45" t="s">
        <v>34</v>
      </c>
      <c r="M16" s="45" t="s">
        <v>34</v>
      </c>
      <c r="N16" s="45" t="s">
        <v>34</v>
      </c>
      <c r="O16" s="45" t="s">
        <v>34</v>
      </c>
      <c r="P16" s="45" t="s">
        <v>34</v>
      </c>
      <c r="Q16" s="45" t="s">
        <v>34</v>
      </c>
      <c r="R16" s="139"/>
      <c r="S16">
        <f t="shared" si="0"/>
        <v>3348</v>
      </c>
      <c r="T16" s="42">
        <f t="shared" si="1"/>
        <v>456</v>
      </c>
      <c r="U16">
        <f t="shared" si="2"/>
        <v>228</v>
      </c>
    </row>
    <row r="17" spans="1:21" ht="15" customHeight="1" x14ac:dyDescent="0.25">
      <c r="A17" s="138"/>
      <c r="B17" s="33">
        <v>15</v>
      </c>
      <c r="C17" s="33">
        <v>3132</v>
      </c>
      <c r="D17" s="43" t="s">
        <v>36</v>
      </c>
      <c r="E17" s="43" t="s">
        <v>36</v>
      </c>
      <c r="F17" s="44" t="s">
        <v>37</v>
      </c>
      <c r="G17" s="44" t="s">
        <v>37</v>
      </c>
      <c r="H17" s="44" t="s">
        <v>37</v>
      </c>
      <c r="I17" s="44" t="s">
        <v>37</v>
      </c>
      <c r="J17" s="44" t="s">
        <v>37</v>
      </c>
      <c r="K17" s="44" t="s">
        <v>37</v>
      </c>
      <c r="L17" s="44" t="s">
        <v>37</v>
      </c>
      <c r="M17" s="44" t="s">
        <v>37</v>
      </c>
      <c r="N17" s="44" t="s">
        <v>37</v>
      </c>
      <c r="O17" s="44" t="s">
        <v>37</v>
      </c>
      <c r="P17" s="44" t="s">
        <v>37</v>
      </c>
      <c r="Q17" s="44" t="s">
        <v>37</v>
      </c>
      <c r="R17" s="137" t="s">
        <v>38</v>
      </c>
      <c r="S17">
        <f t="shared" si="0"/>
        <v>3588</v>
      </c>
      <c r="T17" s="42">
        <f t="shared" si="1"/>
        <v>456</v>
      </c>
      <c r="U17">
        <f t="shared" si="2"/>
        <v>228</v>
      </c>
    </row>
    <row r="18" spans="1:21" ht="15" customHeight="1" x14ac:dyDescent="0.25">
      <c r="A18" s="138"/>
      <c r="B18" s="32">
        <v>16</v>
      </c>
      <c r="C18" s="32">
        <v>3372</v>
      </c>
      <c r="D18" s="43" t="s">
        <v>36</v>
      </c>
      <c r="E18" s="43" t="s">
        <v>36</v>
      </c>
      <c r="F18" s="44" t="s">
        <v>37</v>
      </c>
      <c r="G18" s="44" t="s">
        <v>37</v>
      </c>
      <c r="H18" s="44" t="s">
        <v>37</v>
      </c>
      <c r="I18" s="44" t="s">
        <v>37</v>
      </c>
      <c r="J18" s="44" t="s">
        <v>37</v>
      </c>
      <c r="K18" s="44" t="s">
        <v>37</v>
      </c>
      <c r="L18" s="44" t="s">
        <v>37</v>
      </c>
      <c r="M18" s="44" t="s">
        <v>37</v>
      </c>
      <c r="N18" s="44" t="s">
        <v>37</v>
      </c>
      <c r="O18" s="44" t="s">
        <v>37</v>
      </c>
      <c r="P18" s="44" t="s">
        <v>37</v>
      </c>
      <c r="Q18" s="44" t="s">
        <v>37</v>
      </c>
      <c r="R18" s="138"/>
      <c r="S18">
        <f t="shared" si="0"/>
        <v>3828</v>
      </c>
      <c r="T18" s="42">
        <f t="shared" si="1"/>
        <v>456</v>
      </c>
      <c r="U18">
        <f t="shared" si="2"/>
        <v>228</v>
      </c>
    </row>
    <row r="19" spans="1:21" ht="15" customHeight="1" x14ac:dyDescent="0.25">
      <c r="A19" s="138"/>
      <c r="B19" s="33">
        <v>17</v>
      </c>
      <c r="C19" s="33">
        <v>3612</v>
      </c>
      <c r="D19" s="43" t="s">
        <v>36</v>
      </c>
      <c r="E19" s="43" t="s">
        <v>36</v>
      </c>
      <c r="F19" s="44" t="s">
        <v>37</v>
      </c>
      <c r="G19" s="44" t="s">
        <v>37</v>
      </c>
      <c r="H19" s="44" t="s">
        <v>37</v>
      </c>
      <c r="I19" s="44" t="s">
        <v>37</v>
      </c>
      <c r="J19" s="44" t="s">
        <v>37</v>
      </c>
      <c r="K19" s="44" t="s">
        <v>37</v>
      </c>
      <c r="L19" s="44" t="s">
        <v>37</v>
      </c>
      <c r="M19" s="44" t="s">
        <v>37</v>
      </c>
      <c r="N19" s="44" t="s">
        <v>37</v>
      </c>
      <c r="O19" s="44" t="s">
        <v>37</v>
      </c>
      <c r="P19" s="44" t="s">
        <v>37</v>
      </c>
      <c r="Q19" s="44" t="s">
        <v>37</v>
      </c>
      <c r="R19" s="138"/>
      <c r="S19">
        <f t="shared" si="0"/>
        <v>4068</v>
      </c>
      <c r="T19" s="42">
        <f t="shared" si="1"/>
        <v>456</v>
      </c>
      <c r="U19">
        <f t="shared" si="2"/>
        <v>228</v>
      </c>
    </row>
    <row r="20" spans="1:21" ht="15" customHeight="1" x14ac:dyDescent="0.25">
      <c r="A20" s="138"/>
      <c r="B20" s="32">
        <v>18</v>
      </c>
      <c r="C20" s="32">
        <v>3852</v>
      </c>
      <c r="D20" s="43" t="s">
        <v>36</v>
      </c>
      <c r="E20" s="43" t="s">
        <v>36</v>
      </c>
      <c r="F20" s="44" t="s">
        <v>37</v>
      </c>
      <c r="G20" s="44" t="s">
        <v>37</v>
      </c>
      <c r="H20" s="44" t="s">
        <v>37</v>
      </c>
      <c r="I20" s="44" t="s">
        <v>37</v>
      </c>
      <c r="J20" s="44" t="s">
        <v>37</v>
      </c>
      <c r="K20" s="44" t="s">
        <v>37</v>
      </c>
      <c r="L20" s="44" t="s">
        <v>37</v>
      </c>
      <c r="M20" s="44" t="s">
        <v>37</v>
      </c>
      <c r="N20" s="44" t="s">
        <v>37</v>
      </c>
      <c r="O20" s="44" t="s">
        <v>37</v>
      </c>
      <c r="P20" s="44" t="s">
        <v>37</v>
      </c>
      <c r="Q20" s="44" t="s">
        <v>37</v>
      </c>
      <c r="R20" s="138"/>
      <c r="S20">
        <f t="shared" si="0"/>
        <v>4308</v>
      </c>
      <c r="T20" s="42">
        <f t="shared" si="1"/>
        <v>456</v>
      </c>
      <c r="U20">
        <f t="shared" si="2"/>
        <v>228</v>
      </c>
    </row>
    <row r="21" spans="1:21" ht="15" customHeight="1" x14ac:dyDescent="0.25">
      <c r="A21" s="138"/>
      <c r="B21" s="33">
        <v>19</v>
      </c>
      <c r="C21" s="33">
        <v>4092</v>
      </c>
      <c r="D21" s="43" t="s">
        <v>36</v>
      </c>
      <c r="E21" s="43" t="s">
        <v>36</v>
      </c>
      <c r="F21" s="43" t="s">
        <v>36</v>
      </c>
      <c r="G21" s="44" t="s">
        <v>37</v>
      </c>
      <c r="H21" s="44" t="s">
        <v>37</v>
      </c>
      <c r="I21" s="44" t="s">
        <v>37</v>
      </c>
      <c r="J21" s="44" t="s">
        <v>37</v>
      </c>
      <c r="K21" s="44" t="s">
        <v>37</v>
      </c>
      <c r="L21" s="44" t="s">
        <v>37</v>
      </c>
      <c r="M21" s="44" t="s">
        <v>37</v>
      </c>
      <c r="N21" s="44" t="s">
        <v>37</v>
      </c>
      <c r="O21" s="44" t="s">
        <v>37</v>
      </c>
      <c r="P21" s="44" t="s">
        <v>37</v>
      </c>
      <c r="Q21" s="44" t="s">
        <v>37</v>
      </c>
      <c r="R21" s="138"/>
      <c r="S21">
        <f t="shared" si="0"/>
        <v>4548</v>
      </c>
      <c r="T21" s="42">
        <f t="shared" si="1"/>
        <v>456</v>
      </c>
      <c r="U21">
        <f t="shared" si="2"/>
        <v>228</v>
      </c>
    </row>
    <row r="22" spans="1:21" ht="15" customHeight="1" x14ac:dyDescent="0.25">
      <c r="A22" s="138"/>
      <c r="B22" s="32">
        <v>20</v>
      </c>
      <c r="C22" s="32">
        <v>4332</v>
      </c>
      <c r="D22" s="43" t="s">
        <v>36</v>
      </c>
      <c r="E22" s="43" t="s">
        <v>36</v>
      </c>
      <c r="F22" s="43" t="s">
        <v>36</v>
      </c>
      <c r="G22" s="44" t="s">
        <v>37</v>
      </c>
      <c r="H22" s="44" t="s">
        <v>37</v>
      </c>
      <c r="I22" s="44" t="s">
        <v>37</v>
      </c>
      <c r="J22" s="44" t="s">
        <v>37</v>
      </c>
      <c r="K22" s="44" t="s">
        <v>37</v>
      </c>
      <c r="L22" s="44" t="s">
        <v>37</v>
      </c>
      <c r="M22" s="44" t="s">
        <v>37</v>
      </c>
      <c r="N22" s="44" t="s">
        <v>37</v>
      </c>
      <c r="O22" s="44" t="s">
        <v>37</v>
      </c>
      <c r="P22" s="44" t="s">
        <v>37</v>
      </c>
      <c r="Q22" s="44" t="s">
        <v>37</v>
      </c>
      <c r="R22" s="138"/>
      <c r="S22">
        <f t="shared" si="0"/>
        <v>4788</v>
      </c>
      <c r="T22" s="42">
        <f t="shared" si="1"/>
        <v>456</v>
      </c>
      <c r="U22">
        <f t="shared" si="2"/>
        <v>228</v>
      </c>
    </row>
    <row r="23" spans="1:21" ht="15" customHeight="1" x14ac:dyDescent="0.25">
      <c r="A23" s="138"/>
      <c r="B23" s="33">
        <v>21</v>
      </c>
      <c r="C23" s="33">
        <v>4572</v>
      </c>
      <c r="D23" s="43" t="s">
        <v>36</v>
      </c>
      <c r="E23" s="43" t="s">
        <v>36</v>
      </c>
      <c r="F23" s="43" t="s">
        <v>36</v>
      </c>
      <c r="G23" s="44" t="s">
        <v>37</v>
      </c>
      <c r="H23" s="44" t="s">
        <v>37</v>
      </c>
      <c r="I23" s="44" t="s">
        <v>37</v>
      </c>
      <c r="J23" s="44" t="s">
        <v>37</v>
      </c>
      <c r="K23" s="44" t="s">
        <v>37</v>
      </c>
      <c r="L23" s="44" t="s">
        <v>37</v>
      </c>
      <c r="M23" s="44" t="s">
        <v>37</v>
      </c>
      <c r="N23" s="44" t="s">
        <v>37</v>
      </c>
      <c r="O23" s="44" t="s">
        <v>37</v>
      </c>
      <c r="P23" s="44" t="s">
        <v>37</v>
      </c>
      <c r="Q23" s="44" t="s">
        <v>37</v>
      </c>
      <c r="R23" s="139"/>
      <c r="S23">
        <f t="shared" si="0"/>
        <v>5028</v>
      </c>
      <c r="T23" s="42">
        <f t="shared" si="1"/>
        <v>456</v>
      </c>
      <c r="U23">
        <f t="shared" si="2"/>
        <v>228</v>
      </c>
    </row>
    <row r="24" spans="1:21" ht="15" customHeight="1" x14ac:dyDescent="0.25">
      <c r="A24" s="138"/>
      <c r="B24" s="32">
        <v>22</v>
      </c>
      <c r="C24" s="32">
        <v>4812</v>
      </c>
      <c r="D24" s="43" t="s">
        <v>36</v>
      </c>
      <c r="E24" s="43" t="s">
        <v>36</v>
      </c>
      <c r="F24" s="43" t="s">
        <v>36</v>
      </c>
      <c r="G24" s="43" t="s">
        <v>36</v>
      </c>
      <c r="H24" s="43" t="s">
        <v>36</v>
      </c>
      <c r="I24" s="43" t="s">
        <v>36</v>
      </c>
      <c r="J24" s="43" t="s">
        <v>36</v>
      </c>
      <c r="K24" s="43" t="s">
        <v>36</v>
      </c>
      <c r="L24" s="43" t="s">
        <v>36</v>
      </c>
      <c r="M24" s="43" t="s">
        <v>36</v>
      </c>
      <c r="N24" s="43" t="s">
        <v>36</v>
      </c>
      <c r="O24" s="43" t="s">
        <v>36</v>
      </c>
      <c r="P24" s="43" t="s">
        <v>36</v>
      </c>
      <c r="Q24" s="43" t="s">
        <v>36</v>
      </c>
      <c r="R24" s="137" t="s">
        <v>39</v>
      </c>
      <c r="S24">
        <f t="shared" si="0"/>
        <v>5268</v>
      </c>
      <c r="T24" s="42">
        <f t="shared" si="1"/>
        <v>456</v>
      </c>
      <c r="U24">
        <f t="shared" si="2"/>
        <v>228</v>
      </c>
    </row>
    <row r="25" spans="1:21" ht="15" customHeight="1" x14ac:dyDescent="0.25">
      <c r="A25" s="138"/>
      <c r="B25" s="33">
        <v>23</v>
      </c>
      <c r="C25" s="33">
        <v>5052</v>
      </c>
      <c r="D25" s="43" t="s">
        <v>36</v>
      </c>
      <c r="E25" s="43" t="s">
        <v>36</v>
      </c>
      <c r="F25" s="43" t="s">
        <v>36</v>
      </c>
      <c r="G25" s="43" t="s">
        <v>36</v>
      </c>
      <c r="H25" s="43" t="s">
        <v>36</v>
      </c>
      <c r="I25" s="43" t="s">
        <v>36</v>
      </c>
      <c r="J25" s="43" t="s">
        <v>36</v>
      </c>
      <c r="K25" s="43" t="s">
        <v>36</v>
      </c>
      <c r="L25" s="43" t="s">
        <v>36</v>
      </c>
      <c r="M25" s="43" t="s">
        <v>36</v>
      </c>
      <c r="N25" s="43" t="s">
        <v>36</v>
      </c>
      <c r="O25" s="43" t="s">
        <v>36</v>
      </c>
      <c r="P25" s="43" t="s">
        <v>36</v>
      </c>
      <c r="Q25" s="43" t="s">
        <v>36</v>
      </c>
      <c r="R25" s="138"/>
      <c r="S25">
        <f t="shared" si="0"/>
        <v>5508</v>
      </c>
      <c r="T25" s="42">
        <f t="shared" si="1"/>
        <v>456</v>
      </c>
      <c r="U25">
        <f t="shared" si="2"/>
        <v>228</v>
      </c>
    </row>
    <row r="26" spans="1:21" ht="15" customHeight="1" x14ac:dyDescent="0.25">
      <c r="A26" s="138"/>
      <c r="B26" s="32">
        <v>24</v>
      </c>
      <c r="C26" s="32">
        <v>5292</v>
      </c>
      <c r="D26" s="43" t="s">
        <v>36</v>
      </c>
      <c r="E26" s="43" t="s">
        <v>36</v>
      </c>
      <c r="F26" s="43" t="s">
        <v>36</v>
      </c>
      <c r="G26" s="43" t="s">
        <v>36</v>
      </c>
      <c r="H26" s="43" t="s">
        <v>36</v>
      </c>
      <c r="I26" s="43" t="s">
        <v>36</v>
      </c>
      <c r="J26" s="43" t="s">
        <v>36</v>
      </c>
      <c r="K26" s="43" t="s">
        <v>36</v>
      </c>
      <c r="L26" s="43" t="s">
        <v>36</v>
      </c>
      <c r="M26" s="43" t="s">
        <v>36</v>
      </c>
      <c r="N26" s="43" t="s">
        <v>36</v>
      </c>
      <c r="O26" s="43" t="s">
        <v>36</v>
      </c>
      <c r="P26" s="43" t="s">
        <v>36</v>
      </c>
      <c r="Q26" s="43" t="s">
        <v>36</v>
      </c>
      <c r="R26" s="140"/>
      <c r="S26">
        <f t="shared" si="0"/>
        <v>5748</v>
      </c>
      <c r="T26" s="42">
        <f t="shared" si="1"/>
        <v>456</v>
      </c>
      <c r="U26">
        <f t="shared" si="2"/>
        <v>228</v>
      </c>
    </row>
    <row r="27" spans="1:21" ht="15" customHeight="1" x14ac:dyDescent="0.25">
      <c r="A27" s="138"/>
      <c r="B27" s="33">
        <v>25</v>
      </c>
      <c r="C27" s="33">
        <v>5532</v>
      </c>
      <c r="D27" s="43" t="s">
        <v>36</v>
      </c>
      <c r="E27" s="43" t="s">
        <v>36</v>
      </c>
      <c r="F27" s="43" t="s">
        <v>36</v>
      </c>
      <c r="G27" s="43" t="s">
        <v>36</v>
      </c>
      <c r="H27" s="43" t="s">
        <v>36</v>
      </c>
      <c r="I27" s="43" t="s">
        <v>36</v>
      </c>
      <c r="J27" s="43" t="s">
        <v>36</v>
      </c>
      <c r="K27" s="43" t="s">
        <v>36</v>
      </c>
      <c r="L27" s="43" t="s">
        <v>36</v>
      </c>
      <c r="M27" s="43" t="s">
        <v>36</v>
      </c>
      <c r="N27" s="43" t="s">
        <v>36</v>
      </c>
      <c r="O27" s="43" t="s">
        <v>36</v>
      </c>
      <c r="P27" s="43" t="s">
        <v>36</v>
      </c>
      <c r="Q27" s="43" t="s">
        <v>36</v>
      </c>
      <c r="R27" s="138"/>
      <c r="S27">
        <f t="shared" si="0"/>
        <v>5988</v>
      </c>
      <c r="T27" s="42">
        <f t="shared" si="1"/>
        <v>456</v>
      </c>
      <c r="U27">
        <f t="shared" si="2"/>
        <v>228</v>
      </c>
    </row>
    <row r="28" spans="1:21" ht="15" customHeight="1" x14ac:dyDescent="0.25">
      <c r="A28" s="138"/>
      <c r="B28" s="32">
        <v>26</v>
      </c>
      <c r="C28" s="32">
        <v>5772</v>
      </c>
      <c r="D28" s="43" t="s">
        <v>36</v>
      </c>
      <c r="E28" s="43" t="s">
        <v>36</v>
      </c>
      <c r="F28" s="43" t="s">
        <v>36</v>
      </c>
      <c r="G28" s="43" t="s">
        <v>36</v>
      </c>
      <c r="H28" s="43" t="s">
        <v>36</v>
      </c>
      <c r="I28" s="43" t="s">
        <v>36</v>
      </c>
      <c r="J28" s="43" t="s">
        <v>36</v>
      </c>
      <c r="K28" s="43" t="s">
        <v>36</v>
      </c>
      <c r="L28" s="43" t="s">
        <v>36</v>
      </c>
      <c r="M28" s="43" t="s">
        <v>36</v>
      </c>
      <c r="N28" s="43" t="s">
        <v>36</v>
      </c>
      <c r="O28" s="43" t="s">
        <v>36</v>
      </c>
      <c r="P28" s="43" t="s">
        <v>36</v>
      </c>
      <c r="Q28" s="43" t="s">
        <v>36</v>
      </c>
      <c r="R28" s="138"/>
      <c r="S28">
        <f t="shared" si="0"/>
        <v>6228</v>
      </c>
      <c r="T28" s="42">
        <f t="shared" si="1"/>
        <v>456</v>
      </c>
      <c r="U28">
        <f t="shared" si="2"/>
        <v>228</v>
      </c>
    </row>
    <row r="29" spans="1:21" ht="15" customHeight="1" x14ac:dyDescent="0.25">
      <c r="A29" s="138"/>
      <c r="B29" s="33">
        <v>27</v>
      </c>
      <c r="C29" s="33">
        <v>6012</v>
      </c>
      <c r="D29" s="43" t="s">
        <v>36</v>
      </c>
      <c r="E29" s="43" t="s">
        <v>36</v>
      </c>
      <c r="F29" s="43" t="s">
        <v>36</v>
      </c>
      <c r="G29" s="43" t="s">
        <v>36</v>
      </c>
      <c r="H29" s="43" t="s">
        <v>36</v>
      </c>
      <c r="I29" s="43" t="s">
        <v>36</v>
      </c>
      <c r="J29" s="43" t="s">
        <v>36</v>
      </c>
      <c r="K29" s="43" t="s">
        <v>36</v>
      </c>
      <c r="L29" s="43" t="s">
        <v>36</v>
      </c>
      <c r="M29" s="43" t="s">
        <v>36</v>
      </c>
      <c r="N29" s="43" t="s">
        <v>36</v>
      </c>
      <c r="O29" s="43" t="s">
        <v>36</v>
      </c>
      <c r="P29" s="43" t="s">
        <v>36</v>
      </c>
      <c r="Q29" s="43" t="s">
        <v>36</v>
      </c>
      <c r="R29" s="138"/>
      <c r="S29">
        <f t="shared" si="0"/>
        <v>6468</v>
      </c>
      <c r="T29" s="42">
        <f t="shared" si="1"/>
        <v>456</v>
      </c>
      <c r="U29">
        <f t="shared" si="2"/>
        <v>228</v>
      </c>
    </row>
    <row r="30" spans="1:21" ht="15" customHeight="1" x14ac:dyDescent="0.25">
      <c r="A30" s="138"/>
      <c r="B30" s="32">
        <v>28</v>
      </c>
      <c r="C30" s="32">
        <v>6252</v>
      </c>
      <c r="D30" s="43" t="s">
        <v>36</v>
      </c>
      <c r="E30" s="43" t="s">
        <v>36</v>
      </c>
      <c r="F30" s="43" t="s">
        <v>36</v>
      </c>
      <c r="G30" s="43" t="s">
        <v>36</v>
      </c>
      <c r="H30" s="43" t="s">
        <v>36</v>
      </c>
      <c r="I30" s="43" t="s">
        <v>36</v>
      </c>
      <c r="J30" s="43" t="s">
        <v>36</v>
      </c>
      <c r="K30" s="43" t="s">
        <v>36</v>
      </c>
      <c r="L30" s="43" t="s">
        <v>36</v>
      </c>
      <c r="M30" s="43" t="s">
        <v>36</v>
      </c>
      <c r="N30" s="43" t="s">
        <v>36</v>
      </c>
      <c r="O30" s="43" t="s">
        <v>36</v>
      </c>
      <c r="P30" s="43" t="s">
        <v>36</v>
      </c>
      <c r="Q30" s="43" t="s">
        <v>36</v>
      </c>
      <c r="R30" s="138"/>
      <c r="S30">
        <f t="shared" si="0"/>
        <v>6708</v>
      </c>
      <c r="T30" s="42">
        <f t="shared" si="1"/>
        <v>456</v>
      </c>
      <c r="U30">
        <f t="shared" si="2"/>
        <v>228</v>
      </c>
    </row>
    <row r="31" spans="1:21" ht="15" customHeight="1" x14ac:dyDescent="0.25">
      <c r="A31" s="138"/>
      <c r="B31" s="33">
        <v>29</v>
      </c>
      <c r="C31" s="33">
        <v>6492</v>
      </c>
      <c r="D31" s="43" t="s">
        <v>36</v>
      </c>
      <c r="E31" s="43" t="s">
        <v>36</v>
      </c>
      <c r="F31" s="43" t="s">
        <v>36</v>
      </c>
      <c r="G31" s="43" t="s">
        <v>36</v>
      </c>
      <c r="H31" s="43" t="s">
        <v>36</v>
      </c>
      <c r="I31" s="43" t="s">
        <v>36</v>
      </c>
      <c r="J31" s="43" t="s">
        <v>36</v>
      </c>
      <c r="K31" s="43" t="s">
        <v>36</v>
      </c>
      <c r="L31" s="43" t="s">
        <v>36</v>
      </c>
      <c r="M31" s="43" t="s">
        <v>36</v>
      </c>
      <c r="N31" s="43" t="s">
        <v>36</v>
      </c>
      <c r="O31" s="43" t="s">
        <v>36</v>
      </c>
      <c r="P31" s="43" t="s">
        <v>36</v>
      </c>
      <c r="Q31" s="43" t="s">
        <v>36</v>
      </c>
      <c r="R31" s="138"/>
      <c r="S31">
        <f t="shared" si="0"/>
        <v>6948</v>
      </c>
      <c r="T31" s="42">
        <f t="shared" si="1"/>
        <v>456</v>
      </c>
      <c r="U31">
        <f t="shared" si="2"/>
        <v>228</v>
      </c>
    </row>
    <row r="32" spans="1:21" ht="15" customHeight="1" x14ac:dyDescent="0.25">
      <c r="A32" s="138"/>
      <c r="B32" s="32">
        <v>30</v>
      </c>
      <c r="C32" s="32">
        <v>6732</v>
      </c>
      <c r="D32" s="43" t="s">
        <v>36</v>
      </c>
      <c r="E32" s="43" t="s">
        <v>36</v>
      </c>
      <c r="F32" s="43" t="s">
        <v>36</v>
      </c>
      <c r="G32" s="43" t="s">
        <v>36</v>
      </c>
      <c r="H32" s="43" t="s">
        <v>36</v>
      </c>
      <c r="I32" s="43" t="s">
        <v>36</v>
      </c>
      <c r="J32" s="43" t="s">
        <v>36</v>
      </c>
      <c r="K32" s="43" t="s">
        <v>36</v>
      </c>
      <c r="L32" s="43" t="s">
        <v>36</v>
      </c>
      <c r="M32" s="43" t="s">
        <v>36</v>
      </c>
      <c r="N32" s="43" t="s">
        <v>36</v>
      </c>
      <c r="O32" s="43" t="s">
        <v>36</v>
      </c>
      <c r="P32" s="43" t="s">
        <v>36</v>
      </c>
      <c r="Q32" s="43" t="s">
        <v>36</v>
      </c>
      <c r="R32" s="138"/>
      <c r="S32">
        <f t="shared" si="0"/>
        <v>7188</v>
      </c>
      <c r="T32" s="42">
        <f t="shared" si="1"/>
        <v>456</v>
      </c>
      <c r="U32">
        <f t="shared" si="2"/>
        <v>228</v>
      </c>
    </row>
    <row r="33" spans="1:21" ht="15" customHeight="1" x14ac:dyDescent="0.25">
      <c r="A33" s="138"/>
      <c r="B33" s="33">
        <v>31</v>
      </c>
      <c r="C33" s="33">
        <v>6972</v>
      </c>
      <c r="D33" s="43" t="s">
        <v>36</v>
      </c>
      <c r="E33" s="43" t="s">
        <v>36</v>
      </c>
      <c r="F33" s="43" t="s">
        <v>36</v>
      </c>
      <c r="G33" s="43" t="s">
        <v>36</v>
      </c>
      <c r="H33" s="43" t="s">
        <v>36</v>
      </c>
      <c r="I33" s="43" t="s">
        <v>36</v>
      </c>
      <c r="J33" s="43" t="s">
        <v>36</v>
      </c>
      <c r="K33" s="43" t="s">
        <v>36</v>
      </c>
      <c r="L33" s="43" t="s">
        <v>36</v>
      </c>
      <c r="M33" s="43" t="s">
        <v>36</v>
      </c>
      <c r="N33" s="43" t="s">
        <v>36</v>
      </c>
      <c r="O33" s="43" t="s">
        <v>36</v>
      </c>
      <c r="P33" s="43" t="s">
        <v>36</v>
      </c>
      <c r="Q33" s="43" t="s">
        <v>36</v>
      </c>
      <c r="R33" s="138"/>
      <c r="S33">
        <f t="shared" si="0"/>
        <v>7428</v>
      </c>
      <c r="T33" s="42">
        <f t="shared" si="1"/>
        <v>456</v>
      </c>
      <c r="U33">
        <f t="shared" si="2"/>
        <v>228</v>
      </c>
    </row>
    <row r="34" spans="1:21" ht="15" customHeight="1" x14ac:dyDescent="0.25">
      <c r="A34" s="138"/>
      <c r="B34" s="32">
        <v>32</v>
      </c>
      <c r="C34" s="32">
        <v>7212</v>
      </c>
      <c r="D34" s="43" t="s">
        <v>36</v>
      </c>
      <c r="E34" s="43" t="s">
        <v>36</v>
      </c>
      <c r="F34" s="43" t="s">
        <v>36</v>
      </c>
      <c r="G34" s="43" t="s">
        <v>36</v>
      </c>
      <c r="H34" s="43" t="s">
        <v>36</v>
      </c>
      <c r="I34" s="43" t="s">
        <v>36</v>
      </c>
      <c r="J34" s="43" t="s">
        <v>36</v>
      </c>
      <c r="K34" s="43" t="s">
        <v>36</v>
      </c>
      <c r="L34" s="43" t="s">
        <v>36</v>
      </c>
      <c r="M34" s="43" t="s">
        <v>36</v>
      </c>
      <c r="N34" s="43" t="s">
        <v>36</v>
      </c>
      <c r="O34" s="43" t="s">
        <v>36</v>
      </c>
      <c r="P34" s="43" t="s">
        <v>36</v>
      </c>
      <c r="Q34" s="43" t="s">
        <v>36</v>
      </c>
      <c r="R34" s="141"/>
      <c r="S34">
        <f t="shared" si="0"/>
        <v>7668</v>
      </c>
      <c r="T34" s="42">
        <f t="shared" si="1"/>
        <v>456</v>
      </c>
      <c r="U34">
        <f t="shared" si="2"/>
        <v>228</v>
      </c>
    </row>
    <row r="35" spans="1:21" ht="15" customHeight="1" x14ac:dyDescent="0.25">
      <c r="A35" s="138"/>
      <c r="B35" s="33">
        <v>33</v>
      </c>
      <c r="C35" s="33">
        <v>7452</v>
      </c>
      <c r="D35" s="43" t="s">
        <v>36</v>
      </c>
      <c r="E35" s="43" t="s">
        <v>36</v>
      </c>
      <c r="F35" s="43" t="s">
        <v>36</v>
      </c>
      <c r="G35" s="43" t="s">
        <v>36</v>
      </c>
      <c r="H35" s="43" t="s">
        <v>36</v>
      </c>
      <c r="I35" s="43" t="s">
        <v>36</v>
      </c>
      <c r="J35" s="43" t="s">
        <v>36</v>
      </c>
      <c r="K35" s="43" t="s">
        <v>36</v>
      </c>
      <c r="L35" s="43" t="s">
        <v>36</v>
      </c>
      <c r="M35" s="43" t="s">
        <v>36</v>
      </c>
      <c r="N35" s="43" t="s">
        <v>36</v>
      </c>
      <c r="O35" s="43" t="s">
        <v>36</v>
      </c>
      <c r="P35" s="43" t="s">
        <v>36</v>
      </c>
      <c r="Q35" s="43" t="s">
        <v>36</v>
      </c>
      <c r="R35" s="141"/>
      <c r="S35">
        <f t="shared" si="0"/>
        <v>7908</v>
      </c>
      <c r="T35" s="42">
        <f t="shared" si="1"/>
        <v>456</v>
      </c>
      <c r="U35">
        <f t="shared" si="2"/>
        <v>228</v>
      </c>
    </row>
    <row r="36" spans="1:21" ht="15" customHeight="1" x14ac:dyDescent="0.25">
      <c r="A36" s="138"/>
      <c r="B36" s="32">
        <v>34</v>
      </c>
      <c r="C36" s="32">
        <v>7692</v>
      </c>
      <c r="D36" s="43" t="s">
        <v>36</v>
      </c>
      <c r="E36" s="43" t="s">
        <v>36</v>
      </c>
      <c r="F36" s="43" t="s">
        <v>36</v>
      </c>
      <c r="G36" s="43" t="s">
        <v>36</v>
      </c>
      <c r="H36" s="43" t="s">
        <v>36</v>
      </c>
      <c r="I36" s="43" t="s">
        <v>36</v>
      </c>
      <c r="J36" s="43" t="s">
        <v>36</v>
      </c>
      <c r="K36" s="43" t="s">
        <v>36</v>
      </c>
      <c r="L36" s="43" t="s">
        <v>36</v>
      </c>
      <c r="M36" s="43" t="s">
        <v>36</v>
      </c>
      <c r="N36" s="43" t="s">
        <v>36</v>
      </c>
      <c r="O36" s="43" t="s">
        <v>36</v>
      </c>
      <c r="P36" s="43" t="s">
        <v>36</v>
      </c>
      <c r="Q36" s="43" t="s">
        <v>36</v>
      </c>
      <c r="R36" s="138"/>
      <c r="S36">
        <f t="shared" si="0"/>
        <v>8148</v>
      </c>
      <c r="T36" s="42">
        <f t="shared" si="1"/>
        <v>456</v>
      </c>
      <c r="U36">
        <f t="shared" si="2"/>
        <v>228</v>
      </c>
    </row>
    <row r="37" spans="1:21" ht="15" customHeight="1" x14ac:dyDescent="0.25">
      <c r="A37" s="139"/>
      <c r="B37" s="33">
        <v>35</v>
      </c>
      <c r="C37" s="33">
        <v>7932</v>
      </c>
      <c r="D37" s="43" t="s">
        <v>36</v>
      </c>
      <c r="E37" s="43" t="s">
        <v>36</v>
      </c>
      <c r="F37" s="43" t="s">
        <v>36</v>
      </c>
      <c r="G37" s="43" t="s">
        <v>36</v>
      </c>
      <c r="H37" s="43" t="s">
        <v>36</v>
      </c>
      <c r="I37" s="43" t="s">
        <v>36</v>
      </c>
      <c r="J37" s="43" t="s">
        <v>36</v>
      </c>
      <c r="K37" s="43" t="s">
        <v>36</v>
      </c>
      <c r="L37" s="43" t="s">
        <v>36</v>
      </c>
      <c r="M37" s="43" t="s">
        <v>36</v>
      </c>
      <c r="N37" s="43" t="s">
        <v>36</v>
      </c>
      <c r="O37" s="43" t="s">
        <v>36</v>
      </c>
      <c r="P37" s="43" t="s">
        <v>36</v>
      </c>
      <c r="Q37" s="43" t="s">
        <v>36</v>
      </c>
      <c r="R37" s="139"/>
      <c r="S37">
        <f t="shared" si="0"/>
        <v>8388</v>
      </c>
      <c r="T37" s="42">
        <f>S37-C37</f>
        <v>456</v>
      </c>
      <c r="U37">
        <f t="shared" si="2"/>
        <v>228</v>
      </c>
    </row>
    <row r="39" spans="1:21" x14ac:dyDescent="0.25">
      <c r="A39" s="40"/>
      <c r="B39" s="41" t="s">
        <v>44</v>
      </c>
      <c r="C39" s="41" t="s">
        <v>45</v>
      </c>
      <c r="D39" s="40"/>
    </row>
    <row r="40" spans="1:21" x14ac:dyDescent="0.25">
      <c r="A40" s="40" t="s">
        <v>43</v>
      </c>
      <c r="B40" s="41">
        <v>12</v>
      </c>
      <c r="C40" s="41">
        <v>24</v>
      </c>
      <c r="D40" s="39" t="s">
        <v>46</v>
      </c>
    </row>
  </sheetData>
  <sheetProtection sheet="1" objects="1" scenarios="1"/>
  <mergeCells count="6">
    <mergeCell ref="C1:Q1"/>
    <mergeCell ref="A5:A37"/>
    <mergeCell ref="R6:R16"/>
    <mergeCell ref="R17:R23"/>
    <mergeCell ref="R24:R37"/>
    <mergeCell ref="A1:B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Regneark</vt:lpstr>
      </vt:variant>
      <vt:variant>
        <vt:i4>8</vt:i4>
      </vt:variant>
      <vt:variant>
        <vt:lpstr>Navngivne områder</vt:lpstr>
      </vt:variant>
      <vt:variant>
        <vt:i4>4</vt:i4>
      </vt:variant>
    </vt:vector>
  </HeadingPairs>
  <TitlesOfParts>
    <vt:vector size="12" baseType="lpstr">
      <vt:lpstr>Forside</vt:lpstr>
      <vt:lpstr>Facade3</vt:lpstr>
      <vt:lpstr>Facade2</vt:lpstr>
      <vt:lpstr>Facade1</vt:lpstr>
      <vt:lpstr>Ukendt facade</vt:lpstr>
      <vt:lpstr>Oversigt facader</vt:lpstr>
      <vt:lpstr>Oversigt overliggere</vt:lpstr>
      <vt:lpstr>Overligger tabel</vt:lpstr>
      <vt:lpstr>Facade1!Udskriftsområde</vt:lpstr>
      <vt:lpstr>Facade2!Udskriftsområde</vt:lpstr>
      <vt:lpstr>Facade3!Udskriftsområde</vt:lpstr>
      <vt:lpstr>'Ukendt facade'!Udskriftsområde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Sivebæk Nielsen</dc:creator>
  <cp:lastModifiedBy>Michael Sivebæk Nielsen</cp:lastModifiedBy>
  <cp:lastPrinted>2019-05-10T11:11:51Z</cp:lastPrinted>
  <dcterms:created xsi:type="dcterms:W3CDTF">2018-05-26T11:21:13Z</dcterms:created>
  <dcterms:modified xsi:type="dcterms:W3CDTF">2024-05-08T07:01:43Z</dcterms:modified>
</cp:coreProperties>
</file>